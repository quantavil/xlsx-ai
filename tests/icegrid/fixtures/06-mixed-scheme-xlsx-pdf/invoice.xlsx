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13_ncr:1_{7617248A-2B41-4F01-B838-5E4B6B5C8E4A}" xr6:coauthVersionLast="47" xr6:coauthVersionMax="47" xr10:uidLastSave="{00000000-0000-0000-0000-000000000000}"/>
  <bookViews>
    <workbookView xWindow="-120" yWindow="-120" windowWidth="29040" windowHeight="15720" xr2:uid="{00000000-000D-0000-FFFF-FFFF00000000}"/>
  </bookViews>
  <sheets>
    <sheet name="Act_commercial_invoic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1" i="1" l="1"/>
  <c r="H50" i="1"/>
  <c r="H32" i="1"/>
  <c r="H31" i="1"/>
  <c r="H30" i="1"/>
  <c r="H29" i="1"/>
  <c r="H28" i="1"/>
  <c r="H27" i="1"/>
  <c r="H25" i="1"/>
  <c r="H34" i="1" s="1"/>
  <c r="H26" i="1"/>
  <c r="H24" i="1"/>
  <c r="H23" i="1"/>
  <c r="H22" i="1"/>
  <c r="H21" i="1"/>
  <c r="H56" i="1" l="1"/>
</calcChain>
</file>

<file path=xl/sharedStrings.xml><?xml version="1.0" encoding="utf-8"?>
<sst xmlns="http://schemas.openxmlformats.org/spreadsheetml/2006/main" count="162" uniqueCount="113">
  <si>
    <r>
      <rPr>
        <b/>
        <sz val="11"/>
        <rFont val="Aptos Narrow"/>
        <family val="2"/>
      </rPr>
      <t xml:space="preserve">  Invoice </t>
    </r>
  </si>
  <si>
    <t xml:space="preserve">SUPPLY MEANT FOR EXPORT UNDER LETTER OF UNDERTAKING WITHOUT PAYMENT OF INTEGRATED TAX </t>
  </si>
  <si>
    <r>
      <rPr>
        <sz val="8"/>
        <rFont val="Aptos Narrow"/>
        <family val="2"/>
      </rPr>
      <t>Manufacture &amp; Exporter</t>
    </r>
  </si>
  <si>
    <r>
      <rPr>
        <sz val="8"/>
        <rFont val="Aptos Narrow"/>
        <family val="2"/>
      </rPr>
      <t xml:space="preserve">Invoice No. </t>
    </r>
  </si>
  <si>
    <r>
      <rPr>
        <sz val="8"/>
        <rFont val="Aptos Narrow"/>
        <family val="2"/>
      </rPr>
      <t xml:space="preserve">Date </t>
    </r>
  </si>
  <si>
    <r>
      <rPr>
        <sz val="8"/>
        <rFont val="Aptos Narrow"/>
        <family val="2"/>
      </rPr>
      <t xml:space="preserve">Exporter's Ref. </t>
    </r>
  </si>
  <si>
    <r>
      <rPr>
        <b/>
        <sz val="8"/>
        <rFont val="Aptos Narrow"/>
        <family val="2"/>
      </rPr>
      <t>GodGift International
Mauja Basantpur Ramrai, Rampur Road
Moradabad 244001
Uttar Pradesh India</t>
    </r>
  </si>
  <si>
    <r>
      <rPr>
        <b/>
        <sz val="8"/>
        <rFont val="Aptos Narrow"/>
        <family val="2"/>
      </rPr>
      <t>GGI 83/26-27</t>
    </r>
  </si>
  <si>
    <r>
      <rPr>
        <b/>
        <sz val="8"/>
        <rFont val="Aptos Narrow"/>
        <family val="2"/>
      </rPr>
      <t>21/07/2026</t>
    </r>
  </si>
  <si>
    <r>
      <rPr>
        <b/>
        <sz val="8"/>
        <rFont val="Aptos Narrow"/>
        <family val="2"/>
      </rPr>
      <t>2910001938</t>
    </r>
  </si>
  <si>
    <r>
      <rPr>
        <sz val="8"/>
        <rFont val="Aptos Narrow"/>
        <family val="2"/>
      </rPr>
      <t>Other Reference(s)</t>
    </r>
  </si>
  <si>
    <r>
      <rPr>
        <b/>
        <sz val="7"/>
        <rFont val="Aptos Narrow"/>
        <family val="2"/>
      </rPr>
      <t xml:space="preserve"> 100256</t>
    </r>
  </si>
  <si>
    <r>
      <rPr>
        <b/>
        <sz val="8"/>
        <rFont val="Aptos Narrow"/>
        <family val="2"/>
      </rPr>
      <t>MAESRK Liner Pda by Rail</t>
    </r>
  </si>
  <si>
    <r>
      <rPr>
        <sz val="8"/>
        <rFont val="Aptos Narrow"/>
        <family val="2"/>
      </rPr>
      <t xml:space="preserve">GSTN NO : </t>
    </r>
    <r>
      <rPr>
        <b/>
        <sz val="8"/>
        <rFont val="Aptos Narrow"/>
        <family val="2"/>
      </rPr>
      <t>09AALFG9236H1ZZ</t>
    </r>
  </si>
  <si>
    <r>
      <rPr>
        <sz val="8"/>
        <rFont val="Aptos Narrow"/>
        <family val="2"/>
      </rPr>
      <t xml:space="preserve">PAN No : </t>
    </r>
    <r>
      <rPr>
        <b/>
        <sz val="8"/>
        <rFont val="Aptos Narrow"/>
        <family val="2"/>
      </rPr>
      <t>AALFG9236H</t>
    </r>
  </si>
  <si>
    <r>
      <rPr>
        <sz val="8"/>
        <rFont val="Aptos Narrow"/>
        <family val="2"/>
      </rPr>
      <t>Consignee</t>
    </r>
  </si>
  <si>
    <r>
      <rPr>
        <sz val="8"/>
        <rFont val="Aptos Narrow"/>
        <family val="2"/>
      </rPr>
      <t>Buyer (Other Than Consignee)</t>
    </r>
  </si>
  <si>
    <r>
      <rPr>
        <b/>
        <sz val="8"/>
        <rFont val="Aptos Narrow"/>
        <family val="2"/>
      </rPr>
      <t xml:space="preserve">GLOBAL DECOR COLLECTIVE INC.
100 ELM ST , UNIT 200
WARREN, RI 02885, USA
   United States
</t>
    </r>
  </si>
  <si>
    <r>
      <rPr>
        <sz val="8"/>
        <rFont val="Aptos Narrow"/>
        <family val="2"/>
      </rPr>
      <t>Ship To</t>
    </r>
  </si>
  <si>
    <r>
      <rPr>
        <sz val="8"/>
        <rFont val="Aptos Narrow"/>
        <family val="2"/>
      </rPr>
      <t xml:space="preserve">Also Notify </t>
    </r>
  </si>
  <si>
    <r>
      <rPr>
        <b/>
        <sz val="8"/>
        <rFont val="Aptos Narrow"/>
        <family val="2"/>
      </rPr>
      <t xml:space="preserve">Productiv Inc.
13327 Carowinds Blvd
Suite A Charlotte, NC 28273 USA
   United States
</t>
    </r>
  </si>
  <si>
    <r>
      <rPr>
        <sz val="8"/>
        <rFont val="Aptos Narrow"/>
        <family val="2"/>
      </rPr>
      <t xml:space="preserve">Pre  Carriage by : </t>
    </r>
  </si>
  <si>
    <r>
      <rPr>
        <sz val="8"/>
        <rFont val="Aptos Narrow"/>
        <family val="2"/>
      </rPr>
      <t xml:space="preserve">Port of Loading : </t>
    </r>
  </si>
  <si>
    <r>
      <rPr>
        <sz val="8"/>
        <rFont val="Aptos Narrow"/>
        <family val="2"/>
      </rPr>
      <t xml:space="preserve">Country of Origin : </t>
    </r>
  </si>
  <si>
    <r>
      <rPr>
        <sz val="8"/>
        <rFont val="Aptos Narrow"/>
        <family val="2"/>
      </rPr>
      <t xml:space="preserve"> Country of Final Destination : </t>
    </r>
  </si>
  <si>
    <r>
      <rPr>
        <b/>
        <sz val="8"/>
        <rFont val="Aptos Narrow"/>
        <family val="2"/>
      </rPr>
      <t>Road</t>
    </r>
  </si>
  <si>
    <r>
      <rPr>
        <b/>
        <sz val="8"/>
        <rFont val="Aptos Narrow"/>
        <family val="2"/>
      </rPr>
      <t xml:space="preserve">MUNDRA </t>
    </r>
  </si>
  <si>
    <r>
      <rPr>
        <b/>
        <sz val="8"/>
        <rFont val="Aptos Narrow"/>
        <family val="2"/>
      </rPr>
      <t>India</t>
    </r>
  </si>
  <si>
    <r>
      <rPr>
        <b/>
        <sz val="8"/>
        <rFont val="Aptos Narrow"/>
        <family val="2"/>
      </rPr>
      <t xml:space="preserve"> United States</t>
    </r>
  </si>
  <si>
    <r>
      <rPr>
        <sz val="8"/>
        <rFont val="Aptos Narrow"/>
        <family val="2"/>
      </rPr>
      <t xml:space="preserve">Place of Receipt by pre - carriage : </t>
    </r>
  </si>
  <si>
    <r>
      <rPr>
        <sz val="8"/>
        <rFont val="Aptos Narrow"/>
        <family val="2"/>
      </rPr>
      <t xml:space="preserve">Port of Discharge : </t>
    </r>
  </si>
  <si>
    <r>
      <rPr>
        <sz val="8"/>
        <rFont val="Aptos Narrow"/>
        <family val="2"/>
      </rPr>
      <t xml:space="preserve">Terms of Delivery and Payment </t>
    </r>
  </si>
  <si>
    <r>
      <rPr>
        <b/>
        <sz val="8"/>
        <rFont val="Aptos Narrow"/>
        <family val="2"/>
      </rPr>
      <t xml:space="preserve">MORADABAD </t>
    </r>
  </si>
  <si>
    <r>
      <rPr>
        <b/>
        <sz val="8"/>
        <rFont val="Aptos Narrow"/>
        <family val="2"/>
      </rPr>
      <t>SAVANNAH</t>
    </r>
  </si>
  <si>
    <r>
      <rPr>
        <b/>
        <sz val="8"/>
        <rFont val="Aptos Narrow"/>
        <family val="2"/>
      </rPr>
      <t xml:space="preserve">Terms of Sale : CAD MUNDRA </t>
    </r>
  </si>
  <si>
    <r>
      <rPr>
        <sz val="8"/>
        <rFont val="Aptos Narrow"/>
        <family val="2"/>
      </rPr>
      <t xml:space="preserve">Vessel / Flight No : </t>
    </r>
  </si>
  <si>
    <r>
      <rPr>
        <sz val="8"/>
        <rFont val="Aptos Narrow"/>
        <family val="2"/>
      </rPr>
      <t xml:space="preserve">Final Destination : </t>
    </r>
  </si>
  <si>
    <r>
      <rPr>
        <b/>
        <sz val="7"/>
        <rFont val="Aptos Narrow"/>
        <family val="2"/>
      </rPr>
      <t>Payment Terms : T/T 60 DAYS</t>
    </r>
  </si>
  <si>
    <r>
      <rPr>
        <b/>
        <sz val="8"/>
        <rFont val="Aptos Narrow"/>
        <family val="2"/>
      </rPr>
      <t>BY SHIP</t>
    </r>
  </si>
  <si>
    <r>
      <rPr>
        <b/>
        <sz val="8"/>
        <rFont val="Aptos Narrow"/>
        <family val="2"/>
      </rPr>
      <t>USA</t>
    </r>
  </si>
  <si>
    <r>
      <rPr>
        <b/>
        <sz val="8"/>
        <rFont val="Aptos Narrow"/>
        <family val="2"/>
      </rPr>
      <t>Container No : MSKU1975594-40'</t>
    </r>
  </si>
  <si>
    <r>
      <rPr>
        <sz val="8"/>
        <rFont val="Aptos Narrow"/>
        <family val="2"/>
      </rPr>
      <t>Marks &amp; Nos./
Container No.
SR No</t>
    </r>
  </si>
  <si>
    <r>
      <rPr>
        <sz val="8"/>
        <rFont val="Aptos Narrow"/>
        <family val="2"/>
      </rPr>
      <t>No. &amp;Kinds of Pkgs.
SKU No</t>
    </r>
  </si>
  <si>
    <r>
      <rPr>
        <sz val="8"/>
        <rFont val="Aptos Narrow"/>
        <family val="2"/>
      </rPr>
      <t>Style No</t>
    </r>
  </si>
  <si>
    <r>
      <rPr>
        <sz val="8"/>
        <rFont val="Aptos Narrow"/>
        <family val="2"/>
      </rPr>
      <t>Description of Goods</t>
    </r>
  </si>
  <si>
    <r>
      <rPr>
        <sz val="8"/>
        <rFont val="Aptos Narrow"/>
        <family val="2"/>
      </rPr>
      <t>Quantity</t>
    </r>
  </si>
  <si>
    <r>
      <rPr>
        <sz val="8"/>
        <rFont val="Aptos Narrow"/>
        <family val="2"/>
      </rPr>
      <t>Rate
USD</t>
    </r>
  </si>
  <si>
    <r>
      <rPr>
        <sz val="8"/>
        <rFont val="Aptos Narrow"/>
        <family val="2"/>
      </rPr>
      <t>Amount
USD</t>
    </r>
  </si>
  <si>
    <t/>
  </si>
  <si>
    <r>
      <rPr>
        <b/>
        <sz val="8"/>
        <rFont val="Aptos Narrow"/>
        <family val="2"/>
      </rPr>
      <t>Handicrafts of Aluminium, Brass, Glass, Iron, MDF, Rexine, Steel, Stone, M/Wood Artware</t>
    </r>
  </si>
  <si>
    <r>
      <rPr>
        <b/>
        <sz val="7"/>
        <rFont val="Aptos Narrow"/>
        <family val="2"/>
      </rPr>
      <t xml:space="preserve"> </t>
    </r>
  </si>
  <si>
    <r>
      <rPr>
        <b/>
        <u/>
        <sz val="12"/>
        <rFont val="Aptos Narrow"/>
        <family val="2"/>
      </rPr>
      <t xml:space="preserve"> PO# :100256</t>
    </r>
  </si>
  <si>
    <r>
      <rPr>
        <b/>
        <sz val="8"/>
        <rFont val="Aptos Narrow"/>
        <family val="2"/>
      </rPr>
      <t>1</t>
    </r>
  </si>
  <si>
    <r>
      <rPr>
        <b/>
        <sz val="8"/>
        <rFont val="Aptos Narrow"/>
        <family val="2"/>
      </rPr>
      <t>CL2231A</t>
    </r>
  </si>
  <si>
    <r>
      <rPr>
        <b/>
        <sz val="8"/>
        <rFont val="Aptos Narrow"/>
        <family val="2"/>
      </rPr>
      <t>Clarksville Clock w Cognac Leather Gold
HSN Code 91059990</t>
    </r>
  </si>
  <si>
    <r>
      <rPr>
        <b/>
        <sz val="8"/>
        <rFont val="Aptos Narrow"/>
        <family val="2"/>
      </rPr>
      <t>2</t>
    </r>
  </si>
  <si>
    <r>
      <rPr>
        <b/>
        <sz val="8"/>
        <rFont val="Aptos Narrow"/>
        <family val="2"/>
      </rPr>
      <t>CL4396</t>
    </r>
  </si>
  <si>
    <r>
      <rPr>
        <b/>
        <sz val="8"/>
        <rFont val="Aptos Narrow"/>
        <family val="2"/>
      </rPr>
      <t>GGI 54299 S</t>
    </r>
  </si>
  <si>
    <r>
      <rPr>
        <b/>
        <sz val="8"/>
        <rFont val="Aptos Narrow"/>
        <family val="2"/>
      </rPr>
      <t>EDOM TABLE CLOCK SMALL
HSN Code 91059990</t>
    </r>
  </si>
  <si>
    <r>
      <rPr>
        <b/>
        <sz val="8"/>
        <rFont val="Aptos Narrow"/>
        <family val="2"/>
      </rPr>
      <t>3</t>
    </r>
  </si>
  <si>
    <r>
      <rPr>
        <b/>
        <sz val="8"/>
        <rFont val="Aptos Narrow"/>
        <family val="2"/>
      </rPr>
      <t>CL4395B</t>
    </r>
  </si>
  <si>
    <r>
      <rPr>
        <b/>
        <sz val="8"/>
        <rFont val="Aptos Narrow"/>
        <family val="2"/>
      </rPr>
      <t>GGI 54290 L</t>
    </r>
  </si>
  <si>
    <r>
      <rPr>
        <b/>
        <sz val="8"/>
        <rFont val="Aptos Narrow"/>
        <family val="2"/>
      </rPr>
      <t>EDSEL TABLE CLOCK LARGE
HSN Code 91059990</t>
    </r>
  </si>
  <si>
    <r>
      <rPr>
        <b/>
        <sz val="8"/>
        <rFont val="Aptos Narrow"/>
        <family val="2"/>
      </rPr>
      <t>4</t>
    </r>
  </si>
  <si>
    <r>
      <rPr>
        <b/>
        <sz val="8"/>
        <rFont val="Aptos Narrow"/>
        <family val="2"/>
      </rPr>
      <t>X77610A</t>
    </r>
  </si>
  <si>
    <r>
      <rPr>
        <b/>
        <sz val="8"/>
        <rFont val="Aptos Narrow"/>
        <family val="2"/>
      </rPr>
      <t>CARTY CLOCK SILVER 7.5
HSN Code 91059990</t>
    </r>
  </si>
  <si>
    <r>
      <rPr>
        <b/>
        <sz val="8"/>
        <rFont val="Aptos Narrow"/>
        <family val="2"/>
      </rPr>
      <t>5</t>
    </r>
  </si>
  <si>
    <r>
      <rPr>
        <b/>
        <sz val="8"/>
        <rFont val="Aptos Narrow"/>
        <family val="2"/>
      </rPr>
      <t>CL2231</t>
    </r>
  </si>
  <si>
    <r>
      <rPr>
        <b/>
        <sz val="8"/>
        <rFont val="Aptos Narrow"/>
        <family val="2"/>
      </rPr>
      <t>Clarksville Table Clock Cognac Nickel
HSN Code 91059990</t>
    </r>
  </si>
  <si>
    <r>
      <rPr>
        <b/>
        <sz val="8"/>
        <rFont val="Aptos Narrow"/>
        <family val="2"/>
      </rPr>
      <t>6</t>
    </r>
  </si>
  <si>
    <r>
      <rPr>
        <b/>
        <sz val="8"/>
        <rFont val="Aptos Narrow"/>
        <family val="2"/>
      </rPr>
      <t>CL5924</t>
    </r>
  </si>
  <si>
    <r>
      <rPr>
        <b/>
        <sz val="8"/>
        <rFont val="Aptos Narrow"/>
        <family val="2"/>
      </rPr>
      <t>GGI 24126</t>
    </r>
  </si>
  <si>
    <r>
      <rPr>
        <b/>
        <sz val="8"/>
        <rFont val="Aptos Narrow"/>
        <family val="2"/>
      </rPr>
      <t>Berlinda Wood Table Clock W/Marble Clock
HSN Code 91059990</t>
    </r>
  </si>
  <si>
    <r>
      <rPr>
        <b/>
        <sz val="8"/>
        <rFont val="Aptos Narrow"/>
        <family val="2"/>
      </rPr>
      <t>7</t>
    </r>
  </si>
  <si>
    <r>
      <rPr>
        <b/>
        <sz val="8"/>
        <rFont val="Aptos Narrow"/>
        <family val="2"/>
      </rPr>
      <t>NAF2580L</t>
    </r>
  </si>
  <si>
    <r>
      <rPr>
        <b/>
        <sz val="8"/>
        <rFont val="Aptos Narrow"/>
        <family val="2"/>
      </rPr>
      <t>GGI 212012</t>
    </r>
  </si>
  <si>
    <r>
      <rPr>
        <b/>
        <sz val="8"/>
        <rFont val="Aptos Narrow"/>
        <family val="2"/>
      </rPr>
      <t>Hagan White Marble Drink Table Lg 10*10*24
HSN Code 94032090</t>
    </r>
  </si>
  <si>
    <r>
      <rPr>
        <b/>
        <sz val="8"/>
        <rFont val="Aptos Narrow"/>
        <family val="2"/>
      </rPr>
      <t>9.77</t>
    </r>
  </si>
  <si>
    <r>
      <rPr>
        <sz val="7"/>
        <rFont val="Aptos Narrow"/>
        <family val="2"/>
      </rPr>
      <t>Total Amount In Words :</t>
    </r>
  </si>
  <si>
    <r>
      <rPr>
        <sz val="8"/>
        <rFont val="Aptos Narrow"/>
        <family val="2"/>
      </rPr>
      <t xml:space="preserve"> Balance c/f </t>
    </r>
  </si>
  <si>
    <r>
      <rPr>
        <sz val="8"/>
        <rFont val="Aptos Narrow"/>
        <family val="2"/>
      </rPr>
      <t>continued......</t>
    </r>
  </si>
  <si>
    <r>
      <rPr>
        <b/>
        <sz val="8"/>
        <rFont val="Aptos Narrow"/>
        <family val="2"/>
      </rPr>
      <t xml:space="preserve"> For GodGift International</t>
    </r>
  </si>
  <si>
    <r>
      <rPr>
        <sz val="8"/>
        <rFont val="Aptos Narrow"/>
        <family val="2"/>
      </rPr>
      <t>Partner</t>
    </r>
  </si>
  <si>
    <r>
      <rPr>
        <sz val="8"/>
        <rFont val="Aptos Narrow"/>
        <family val="2"/>
      </rPr>
      <t>Page 1</t>
    </r>
  </si>
  <si>
    <r>
      <rPr>
        <sz val="8"/>
        <rFont val="Aptos Narrow"/>
        <family val="2"/>
      </rPr>
      <t xml:space="preserve"> of 2</t>
    </r>
  </si>
  <si>
    <r>
      <rPr>
        <b/>
        <sz val="8"/>
        <rFont val="Aptos Narrow"/>
        <family val="2"/>
      </rPr>
      <t>8</t>
    </r>
  </si>
  <si>
    <r>
      <rPr>
        <b/>
        <sz val="8"/>
        <rFont val="Aptos Narrow"/>
        <family val="2"/>
      </rPr>
      <t>NAF2580S</t>
    </r>
  </si>
  <si>
    <r>
      <rPr>
        <b/>
        <sz val="8"/>
        <rFont val="Aptos Narrow"/>
        <family val="2"/>
      </rPr>
      <t>GGI 212013</t>
    </r>
  </si>
  <si>
    <r>
      <rPr>
        <b/>
        <sz val="8"/>
        <rFont val="Aptos Narrow"/>
        <family val="2"/>
      </rPr>
      <t>Hagan White Marble Drink Table SM 10*10*18
HSN Code 94032090</t>
    </r>
  </si>
  <si>
    <r>
      <rPr>
        <b/>
        <sz val="8"/>
        <rFont val="Aptos Narrow"/>
        <family val="2"/>
      </rPr>
      <t>8.84</t>
    </r>
  </si>
  <si>
    <r>
      <rPr>
        <sz val="8"/>
        <rFont val="Aptos Narrow"/>
        <family val="2"/>
      </rPr>
      <t>Total :</t>
    </r>
    <r>
      <rPr>
        <b/>
        <sz val="8"/>
        <rFont val="Aptos Narrow"/>
        <family val="2"/>
      </rPr>
      <t xml:space="preserve"> 7720 PCS </t>
    </r>
  </si>
  <si>
    <r>
      <rPr>
        <sz val="8"/>
        <rFont val="Aptos Narrow"/>
        <family val="2"/>
      </rPr>
      <t xml:space="preserve">  Total CTN : </t>
    </r>
  </si>
  <si>
    <r>
      <rPr>
        <b/>
        <sz val="8"/>
        <rFont val="Aptos Narrow"/>
        <family val="2"/>
      </rPr>
      <t>1715</t>
    </r>
  </si>
  <si>
    <r>
      <rPr>
        <sz val="8"/>
        <rFont val="Aptos Narrow"/>
        <family val="2"/>
      </rPr>
      <t xml:space="preserve">  Total CBM : </t>
    </r>
  </si>
  <si>
    <r>
      <rPr>
        <b/>
        <sz val="8"/>
        <rFont val="Aptos Narrow"/>
        <family val="2"/>
      </rPr>
      <t>72.803</t>
    </r>
  </si>
  <si>
    <r>
      <rPr>
        <sz val="8"/>
        <rFont val="Aptos Narrow"/>
        <family val="2"/>
      </rPr>
      <t>Total USD</t>
    </r>
  </si>
  <si>
    <r>
      <rPr>
        <sz val="8"/>
        <rFont val="Aptos Narrow"/>
        <family val="2"/>
      </rPr>
      <t xml:space="preserve">Total Net Wgt (Kgs) : </t>
    </r>
  </si>
  <si>
    <r>
      <rPr>
        <b/>
        <sz val="8"/>
        <rFont val="Aptos Narrow"/>
        <family val="2"/>
      </rPr>
      <t>10241.600</t>
    </r>
  </si>
  <si>
    <r>
      <rPr>
        <sz val="8"/>
        <rFont val="Aptos Narrow"/>
        <family val="2"/>
      </rPr>
      <t xml:space="preserve">  Total Grs wgt (Kgs) : </t>
    </r>
  </si>
  <si>
    <r>
      <rPr>
        <b/>
        <sz val="8"/>
        <rFont val="Aptos Narrow"/>
        <family val="2"/>
      </rPr>
      <t>12503.000</t>
    </r>
  </si>
  <si>
    <r>
      <rPr>
        <sz val="7"/>
        <rFont val="Aptos Narrow"/>
        <family val="2"/>
      </rPr>
      <t xml:space="preserve">Bank Details
</t>
    </r>
    <r>
      <rPr>
        <b/>
        <sz val="7"/>
        <rFont val="Aptos Narrow"/>
        <family val="2"/>
      </rPr>
      <t>Punjab National Bank IBB Delhi Road, Moradabad</t>
    </r>
    <r>
      <rPr>
        <sz val="7"/>
        <rFont val="Aptos Narrow"/>
        <family val="2"/>
      </rPr>
      <t xml:space="preserve">
A/C Name : </t>
    </r>
    <r>
      <rPr>
        <b/>
        <sz val="7"/>
        <rFont val="Aptos Narrow"/>
        <family val="2"/>
      </rPr>
      <t>GodGift International</t>
    </r>
    <r>
      <rPr>
        <sz val="7"/>
        <rFont val="Aptos Narrow"/>
        <family val="2"/>
      </rPr>
      <t xml:space="preserve">
A/C :</t>
    </r>
    <r>
      <rPr>
        <b/>
        <sz val="7"/>
        <rFont val="Aptos Narrow"/>
        <family val="2"/>
      </rPr>
      <t xml:space="preserve">3928002100029316 </t>
    </r>
    <r>
      <rPr>
        <sz val="7"/>
        <rFont val="Aptos Narrow"/>
        <family val="2"/>
      </rPr>
      <t xml:space="preserve">Swift Code : </t>
    </r>
    <r>
      <rPr>
        <b/>
        <sz val="7"/>
        <rFont val="Aptos Narrow"/>
        <family val="2"/>
      </rPr>
      <t>PUNBINBBMBD</t>
    </r>
  </si>
  <si>
    <r>
      <rPr>
        <b/>
        <sz val="8"/>
        <rFont val="Aptos Narrow"/>
        <family val="2"/>
      </rPr>
      <t xml:space="preserve">Declaration : </t>
    </r>
  </si>
  <si>
    <r>
      <rPr>
        <sz val="8"/>
        <rFont val="Aptos Narrow"/>
        <family val="2"/>
      </rPr>
      <t>Signature &amp; Date</t>
    </r>
  </si>
  <si>
    <r>
      <rPr>
        <sz val="8"/>
        <rFont val="Aptos Narrow"/>
        <family val="2"/>
      </rPr>
      <t>Page 2</t>
    </r>
  </si>
  <si>
    <t xml:space="preserve">The Exporter No. "INREX2910001938EC021" of the products covered by this document declares that, except where otherwise clearly indicated, these products are of Indian Preferential Origin according to rules of origin of the Generalised System of Preferences of the European Union and that the origin criterion met is "P"
</t>
  </si>
  <si>
    <r>
      <rPr>
        <b/>
        <sz val="7"/>
        <rFont val="SansSerif"/>
        <charset val="134"/>
      </rPr>
      <t xml:space="preserve">WITH </t>
    </r>
    <r>
      <rPr>
        <b/>
        <sz val="7"/>
        <color rgb="FFFF0000"/>
        <rFont val="SansSerif"/>
        <charset val="134"/>
      </rPr>
      <t xml:space="preserve">-BOND # 2002463508, IGCR # 09AALFG9236H1ZZ2526001 </t>
    </r>
    <r>
      <rPr>
        <b/>
        <sz val="7"/>
        <rFont val="SansSerif"/>
        <charset val="134"/>
      </rPr>
      <t xml:space="preserve">(EXPORT/IMPORT </t>
    </r>
    <r>
      <rPr>
        <b/>
        <sz val="7"/>
        <color rgb="FFFF0000"/>
        <rFont val="SansSerif"/>
        <charset val="134"/>
      </rPr>
      <t>SERIAL#2</t>
    </r>
    <r>
      <rPr>
        <b/>
        <sz val="7"/>
        <rFont val="SansSerif"/>
        <charset val="134"/>
      </rPr>
      <t xml:space="preserve">) 5168 STANDARD MOVEMENT W/SCREW, SHAFTLENGTH </t>
    </r>
    <r>
      <rPr>
        <b/>
        <sz val="7"/>
        <color rgb="FF00B050"/>
        <rFont val="SansSerif"/>
        <charset val="134"/>
      </rPr>
      <t>18.5MM,</t>
    </r>
    <r>
      <rPr>
        <b/>
        <sz val="7"/>
        <rFont val="SansSerif"/>
        <charset val="134"/>
      </rPr>
      <t xml:space="preserve"> TEA BROWN TRANSPARENT COVER WITH RED KNOB       </t>
    </r>
  </si>
  <si>
    <t>704 PCS</t>
  </si>
  <si>
    <t>Total Amount In Words :Fifty Five Thousand Nine Hundred Forty Three US. Dollars &amp; Eighty Four Cents Only</t>
  </si>
  <si>
    <r>
      <rPr>
        <b/>
        <sz val="8"/>
        <rFont val="Aptos Narrow"/>
        <family val="2"/>
      </rPr>
      <t>600 PCS</t>
    </r>
  </si>
  <si>
    <r>
      <rPr>
        <b/>
        <sz val="8"/>
        <rFont val="Aptos Narrow"/>
        <family val="2"/>
      </rPr>
      <t>320 PCS</t>
    </r>
  </si>
  <si>
    <r>
      <rPr>
        <b/>
        <sz val="8"/>
        <rFont val="Aptos Narrow"/>
        <family val="2"/>
      </rPr>
      <t>1800 PCS</t>
    </r>
  </si>
  <si>
    <r>
      <rPr>
        <b/>
        <sz val="8"/>
        <rFont val="Aptos Narrow"/>
        <family val="2"/>
      </rPr>
      <t>1200 PCS</t>
    </r>
  </si>
  <si>
    <t>1719 Cartons
1-1719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</si>
</sst>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b/>
      <sz val="10"/>
      <color rgb="FF000000"/>
      <name val="SansSerif"/>
      <family val="2"/>
    </font>
    <font>
      <sz val="8"/>
      <color rgb="FF000000"/>
      <name val="SansSerif"/>
      <family val="2"/>
    </font>
    <font>
      <b/>
      <sz val="8"/>
      <color rgb="FF000000"/>
      <name val="SansSerif"/>
      <family val="2"/>
    </font>
    <font>
      <b/>
      <sz val="7"/>
      <color rgb="FF000000"/>
      <name val="SansSerif"/>
      <family val="2"/>
    </font>
    <font>
      <b/>
      <u/>
      <sz val="12"/>
      <color rgb="FF000000"/>
      <name val="SansSerif"/>
      <family val="2"/>
    </font>
    <font>
      <sz val="7"/>
      <color rgb="FF000000"/>
      <name val="SansSerif"/>
      <family val="2"/>
    </font>
    <font>
      <b/>
      <sz val="6"/>
      <color rgb="FF000000"/>
      <name val="SansSerif"/>
      <family val="2"/>
    </font>
    <font>
      <sz val="11"/>
      <color theme="1"/>
      <name val="Aptos Narrow"/>
      <family val="2"/>
      <scheme val="minor"/>
    </font>
    <font>
      <b/>
      <sz val="11"/>
      <name val="Aptos Narrow"/>
      <family val="2"/>
    </font>
    <font>
      <sz val="8"/>
      <name val="Aptos Narrow"/>
      <family val="2"/>
    </font>
    <font>
      <b/>
      <sz val="8"/>
      <name val="Aptos Narrow"/>
      <family val="2"/>
    </font>
    <font>
      <b/>
      <sz val="7"/>
      <name val="Aptos Narrow"/>
      <family val="2"/>
    </font>
    <font>
      <b/>
      <u/>
      <sz val="12"/>
      <name val="Aptos Narrow"/>
      <family val="2"/>
    </font>
    <font>
      <sz val="7"/>
      <name val="Aptos Narrow"/>
      <family val="2"/>
    </font>
    <font>
      <sz val="9"/>
      <color rgb="FF000000"/>
      <name val="SansSerif"/>
      <family val="2"/>
    </font>
    <font>
      <b/>
      <sz val="7"/>
      <name val="SansSerif"/>
      <charset val="134"/>
    </font>
    <font>
      <b/>
      <sz val="7"/>
      <color rgb="FFFF0000"/>
      <name val="SansSerif"/>
      <charset val="134"/>
    </font>
    <font>
      <b/>
      <sz val="7"/>
      <color rgb="FF00B050"/>
      <name val="SansSerif"/>
      <charset val="134"/>
    </font>
    <font>
      <b/>
      <sz val="8"/>
      <color rgb="FF000000"/>
      <name val="SansSerif"/>
      <charset val="134"/>
    </font>
    <font>
      <b/>
      <sz val="8"/>
      <name val="SansSerif"/>
      <family val="2"/>
    </font>
  </fonts>
  <fills count="86">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CFCFC"/>
      </patternFill>
    </fill>
    <fill>
      <patternFill patternType="solid">
        <fgColor rgb="FFFCFCFC"/>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00"/>
        <bgColor indexed="64"/>
      </patternFill>
    </fill>
  </fills>
  <borders count="37">
    <border>
      <left/>
      <right/>
      <top/>
      <bottom/>
      <diagonal/>
    </border>
    <border>
      <left style="medium">
        <color rgb="FF000000"/>
      </left>
      <right style="medium">
        <color rgb="FF000000"/>
      </right>
      <top style="medium">
        <color rgb="FF000000"/>
      </top>
      <bottom/>
      <diagonal/>
    </border>
    <border>
      <left style="medium">
        <color rgb="FF000000"/>
      </left>
      <right/>
      <top/>
      <bottom/>
      <diagonal/>
    </border>
    <border>
      <left style="medium">
        <color rgb="FF000000"/>
      </left>
      <right style="medium">
        <color rgb="FF000000"/>
      </right>
      <top/>
      <bottom/>
      <diagonal/>
    </border>
    <border>
      <left/>
      <right/>
      <top style="medium">
        <color rgb="FF000000"/>
      </top>
      <bottom/>
      <diagonal/>
    </border>
    <border>
      <left/>
      <right style="medium">
        <color rgb="FF000000"/>
      </right>
      <top style="medium">
        <color rgb="FF000000"/>
      </top>
      <bottom/>
      <diagonal/>
    </border>
    <border>
      <left/>
      <right/>
      <top/>
      <bottom/>
      <diagonal/>
    </border>
    <border>
      <left/>
      <right style="medium">
        <color rgb="FF000000"/>
      </right>
      <top/>
      <bottom/>
      <diagonal/>
    </border>
    <border>
      <left/>
      <right/>
      <top style="medium">
        <color rgb="FF000000"/>
      </top>
      <bottom style="medium">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
      <left style="medium">
        <color rgb="FF000000"/>
      </left>
      <right/>
      <top style="medium">
        <color rgb="FF000000"/>
      </top>
      <bottom/>
      <diagonal/>
    </border>
    <border>
      <left/>
      <right style="medium">
        <color rgb="FF000000"/>
      </right>
      <top/>
      <bottom style="medium">
        <color rgb="FF000000"/>
      </bottom>
      <diagonal/>
    </border>
    <border>
      <left style="medium">
        <color rgb="FF000000"/>
      </left>
      <right/>
      <top/>
      <bottom style="medium">
        <color rgb="FF000000"/>
      </bottom>
      <diagonal/>
    </border>
    <border>
      <left style="medium">
        <color indexed="64"/>
      </left>
      <right style="medium">
        <color rgb="FF000000"/>
      </right>
      <top style="medium">
        <color indexed="64"/>
      </top>
      <bottom/>
      <diagonal/>
    </border>
    <border>
      <left style="medium">
        <color rgb="FF000000"/>
      </left>
      <right style="medium">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style="medium">
        <color rgb="FF000000"/>
      </right>
      <top/>
      <bottom/>
      <diagonal/>
    </border>
    <border>
      <left style="medium">
        <color rgb="FF000000"/>
      </left>
      <right style="medium">
        <color indexed="64"/>
      </right>
      <top/>
      <bottom/>
      <diagonal/>
    </border>
    <border>
      <left style="medium">
        <color indexed="64"/>
      </left>
      <right/>
      <top style="medium">
        <color rgb="FF000000"/>
      </top>
      <bottom/>
      <diagonal/>
    </border>
    <border>
      <left/>
      <right style="medium">
        <color indexed="64"/>
      </right>
      <top style="medium">
        <color rgb="FF000000"/>
      </top>
      <bottom/>
      <diagonal/>
    </border>
    <border>
      <left style="medium">
        <color indexed="64"/>
      </left>
      <right/>
      <top/>
      <bottom/>
      <diagonal/>
    </border>
    <border>
      <left/>
      <right style="medium">
        <color indexed="64"/>
      </right>
      <top/>
      <bottom/>
      <diagonal/>
    </border>
    <border>
      <left/>
      <right style="medium">
        <color indexed="64"/>
      </right>
      <top style="medium">
        <color rgb="FF000000"/>
      </top>
      <bottom style="medium">
        <color rgb="FF000000"/>
      </bottom>
      <diagonal/>
    </border>
    <border>
      <left style="medium">
        <color indexed="64"/>
      </left>
      <right/>
      <top/>
      <bottom style="medium">
        <color rgb="FF000000"/>
      </bottom>
      <diagonal/>
    </border>
    <border>
      <left style="medium">
        <color indexed="64"/>
      </left>
      <right/>
      <top style="medium">
        <color rgb="FF000000"/>
      </top>
      <bottom style="medium">
        <color rgb="FF000000"/>
      </bottom>
      <diagonal/>
    </border>
    <border>
      <left style="medium">
        <color indexed="64"/>
      </left>
      <right style="medium">
        <color rgb="FF000000"/>
      </right>
      <top style="medium">
        <color rgb="FF000000"/>
      </top>
      <bottom/>
      <diagonal/>
    </border>
    <border>
      <left style="medium">
        <color indexed="64"/>
      </left>
      <right style="medium">
        <color rgb="FF000000"/>
      </right>
      <top/>
      <bottom style="medium">
        <color indexed="64"/>
      </bottom>
      <diagonal/>
    </border>
    <border>
      <left/>
      <right style="medium">
        <color rgb="FF000000"/>
      </right>
      <top/>
      <bottom style="medium">
        <color indexed="64"/>
      </bottom>
      <diagonal/>
    </border>
    <border>
      <left/>
      <right/>
      <top style="medium">
        <color rgb="FF000000"/>
      </top>
      <bottom style="medium">
        <color indexed="64"/>
      </bottom>
      <diagonal/>
    </border>
    <border>
      <left/>
      <right style="medium">
        <color indexed="64"/>
      </right>
      <top style="medium">
        <color rgb="FF000000"/>
      </top>
      <bottom style="medium">
        <color indexed="64"/>
      </bottom>
      <diagonal/>
    </border>
    <border>
      <left style="medium">
        <color rgb="FF000000"/>
      </left>
      <right style="medium">
        <color indexed="64"/>
      </right>
      <top style="medium">
        <color rgb="FF000000"/>
      </top>
      <bottom/>
      <diagonal/>
    </border>
    <border>
      <left style="medium">
        <color indexed="64"/>
      </left>
      <right style="medium">
        <color rgb="FF000000"/>
      </right>
      <top/>
      <bottom style="medium">
        <color rgb="FF000000"/>
      </bottom>
      <diagonal/>
    </border>
    <border>
      <left style="medium">
        <color rgb="FF000000"/>
      </left>
      <right style="medium">
        <color indexed="64"/>
      </right>
      <top/>
      <bottom style="medium">
        <color rgb="FF000000"/>
      </bottom>
      <diagonal/>
    </border>
    <border>
      <left/>
      <right style="medium">
        <color indexed="64"/>
      </right>
      <top/>
      <bottom style="medium">
        <color rgb="FF000000"/>
      </bottom>
      <diagonal/>
    </border>
    <border>
      <left style="medium">
        <color indexed="64"/>
      </left>
      <right/>
      <top/>
      <bottom style="medium">
        <color indexed="64"/>
      </bottom>
      <diagonal/>
    </border>
    <border>
      <left/>
      <right/>
      <top/>
      <bottom style="medium">
        <color indexed="64"/>
      </bottom>
      <diagonal/>
    </border>
  </borders>
  <cellStyleXfs count="3">
    <xf numFmtId="0" fontId="0" fillId="0" borderId="0"/>
    <xf numFmtId="0" fontId="8" fillId="0" borderId="6"/>
    <xf numFmtId="0" fontId="8" fillId="0" borderId="6"/>
  </cellStyleXfs>
  <cellXfs count="137">
    <xf numFmtId="0" fontId="0" fillId="0" borderId="0" xfId="0"/>
    <xf numFmtId="0" fontId="0" fillId="2" borderId="0" xfId="0" applyFill="1" applyAlignment="1" applyProtection="1">
      <alignment wrapText="1"/>
      <protection locked="0"/>
    </xf>
    <xf numFmtId="0" fontId="2" fillId="9" borderId="1" xfId="0" applyFont="1" applyFill="1" applyBorder="1" applyAlignment="1">
      <alignment horizontal="left" vertical="center" wrapText="1"/>
    </xf>
    <xf numFmtId="0" fontId="2" fillId="10" borderId="5" xfId="0" applyFont="1" applyFill="1" applyBorder="1" applyAlignment="1">
      <alignment horizontal="left" vertical="center" wrapText="1"/>
    </xf>
    <xf numFmtId="0" fontId="2" fillId="11" borderId="4" xfId="0" applyFont="1" applyFill="1" applyBorder="1" applyAlignment="1">
      <alignment horizontal="left" vertical="center" wrapText="1"/>
    </xf>
    <xf numFmtId="0" fontId="3" fillId="15" borderId="3" xfId="0" applyFont="1" applyFill="1" applyBorder="1" applyAlignment="1">
      <alignment horizontal="left" vertical="center" wrapText="1"/>
    </xf>
    <xf numFmtId="0" fontId="3" fillId="16" borderId="7" xfId="0" applyFont="1" applyFill="1" applyBorder="1" applyAlignment="1">
      <alignment horizontal="left" vertical="center" wrapText="1"/>
    </xf>
    <xf numFmtId="0" fontId="3" fillId="17" borderId="6" xfId="0" applyFont="1" applyFill="1" applyBorder="1" applyAlignment="1">
      <alignment horizontal="left" vertical="center" wrapText="1"/>
    </xf>
    <xf numFmtId="0" fontId="3" fillId="18" borderId="6" xfId="0" applyFont="1" applyFill="1" applyBorder="1" applyAlignment="1" applyProtection="1">
      <alignment horizontal="left" vertical="center" wrapText="1"/>
      <protection locked="0"/>
    </xf>
    <xf numFmtId="0" fontId="2" fillId="22" borderId="10" xfId="0" applyFont="1" applyFill="1" applyBorder="1" applyAlignment="1">
      <alignment horizontal="left" vertical="center" wrapText="1"/>
    </xf>
    <xf numFmtId="0" fontId="3" fillId="38" borderId="12" xfId="0" applyFont="1" applyFill="1" applyBorder="1" applyAlignment="1">
      <alignment horizontal="left" vertical="center" wrapText="1"/>
    </xf>
    <xf numFmtId="0" fontId="2" fillId="46" borderId="8" xfId="0" applyFont="1" applyFill="1" applyBorder="1" applyAlignment="1">
      <alignment horizontal="center" vertical="center" wrapText="1"/>
    </xf>
    <xf numFmtId="0" fontId="3" fillId="48" borderId="6" xfId="0" applyFont="1" applyFill="1" applyBorder="1" applyAlignment="1">
      <alignment horizontal="center" vertical="center" wrapText="1"/>
    </xf>
    <xf numFmtId="0" fontId="4" fillId="50" borderId="6" xfId="0" applyFont="1" applyFill="1" applyBorder="1" applyAlignment="1">
      <alignment horizontal="center" vertical="center" wrapText="1"/>
    </xf>
    <xf numFmtId="0" fontId="2" fillId="57" borderId="4" xfId="0" applyFont="1" applyFill="1" applyBorder="1" applyAlignment="1">
      <alignment horizontal="right" vertical="center" wrapText="1"/>
    </xf>
    <xf numFmtId="0" fontId="0" fillId="59" borderId="6" xfId="0" applyFill="1" applyBorder="1" applyAlignment="1" applyProtection="1">
      <alignment wrapText="1"/>
      <protection locked="0"/>
    </xf>
    <xf numFmtId="0" fontId="2" fillId="60" borderId="6" xfId="0" applyFont="1" applyFill="1" applyBorder="1" applyAlignment="1">
      <alignment horizontal="right" vertical="top" wrapText="1"/>
    </xf>
    <xf numFmtId="0" fontId="0" fillId="61" borderId="11" xfId="0" applyFill="1" applyBorder="1" applyAlignment="1" applyProtection="1">
      <alignment wrapText="1"/>
      <protection locked="0"/>
    </xf>
    <xf numFmtId="0" fontId="0" fillId="64" borderId="2" xfId="0" applyFill="1" applyBorder="1" applyAlignment="1" applyProtection="1">
      <alignment wrapText="1"/>
      <protection locked="0"/>
    </xf>
    <xf numFmtId="0" fontId="0" fillId="65" borderId="13" xfId="0" applyFill="1" applyBorder="1" applyAlignment="1" applyProtection="1">
      <alignment wrapText="1"/>
      <protection locked="0"/>
    </xf>
    <xf numFmtId="0" fontId="3" fillId="72" borderId="4" xfId="0" applyFont="1" applyFill="1" applyBorder="1" applyAlignment="1">
      <alignment horizontal="left" vertical="center" wrapText="1"/>
    </xf>
    <xf numFmtId="0" fontId="3" fillId="75" borderId="5" xfId="0" applyFont="1" applyFill="1" applyBorder="1" applyAlignment="1">
      <alignment horizontal="left" vertical="center" wrapText="1"/>
    </xf>
    <xf numFmtId="0" fontId="2" fillId="76" borderId="2" xfId="0" applyFont="1" applyFill="1" applyBorder="1" applyAlignment="1">
      <alignment horizontal="left" vertical="center" wrapText="1"/>
    </xf>
    <xf numFmtId="0" fontId="2" fillId="46" borderId="25" xfId="0" applyFont="1" applyFill="1" applyBorder="1" applyAlignment="1">
      <alignment horizontal="center" vertical="center" wrapText="1"/>
    </xf>
    <xf numFmtId="0" fontId="2" fillId="46" borderId="23" xfId="0" applyFont="1" applyFill="1" applyBorder="1" applyAlignment="1">
      <alignment horizontal="center" vertical="center" wrapText="1"/>
    </xf>
    <xf numFmtId="0" fontId="3" fillId="48" borderId="21" xfId="0" applyFont="1" applyFill="1" applyBorder="1" applyAlignment="1">
      <alignment horizontal="center" vertical="center" wrapText="1"/>
    </xf>
    <xf numFmtId="0" fontId="4" fillId="50" borderId="22" xfId="0" applyFont="1" applyFill="1" applyBorder="1" applyAlignment="1">
      <alignment horizontal="center" vertical="center" wrapText="1"/>
    </xf>
    <xf numFmtId="0" fontId="0" fillId="2" borderId="21" xfId="0" applyFill="1" applyBorder="1" applyAlignment="1" applyProtection="1">
      <alignment wrapText="1"/>
      <protection locked="0"/>
    </xf>
    <xf numFmtId="0" fontId="0" fillId="2" borderId="6" xfId="0" applyFill="1" applyBorder="1" applyAlignment="1" applyProtection="1">
      <alignment wrapText="1"/>
      <protection locked="0"/>
    </xf>
    <xf numFmtId="0" fontId="0" fillId="2" borderId="22" xfId="0" applyFill="1" applyBorder="1" applyAlignment="1" applyProtection="1">
      <alignment wrapText="1"/>
      <protection locked="0"/>
    </xf>
    <xf numFmtId="0" fontId="0" fillId="59" borderId="22" xfId="0" applyFill="1" applyBorder="1" applyAlignment="1" applyProtection="1">
      <alignment wrapText="1"/>
      <protection locked="0"/>
    </xf>
    <xf numFmtId="0" fontId="2" fillId="69" borderId="29" xfId="0" applyFont="1" applyFill="1" applyBorder="1" applyAlignment="1">
      <alignment horizontal="right" vertical="center" wrapText="1"/>
    </xf>
    <xf numFmtId="0" fontId="2" fillId="71" borderId="30" xfId="0" applyFont="1" applyFill="1" applyBorder="1" applyAlignment="1">
      <alignment horizontal="left" vertical="center" wrapText="1"/>
    </xf>
    <xf numFmtId="0" fontId="0" fillId="59" borderId="21" xfId="0" applyFill="1" applyBorder="1" applyAlignment="1" applyProtection="1">
      <alignment wrapText="1"/>
      <protection locked="0"/>
    </xf>
    <xf numFmtId="0" fontId="0" fillId="68" borderId="35" xfId="0" applyFill="1" applyBorder="1" applyAlignment="1" applyProtection="1">
      <alignment wrapText="1"/>
      <protection locked="0"/>
    </xf>
    <xf numFmtId="0" fontId="0" fillId="68" borderId="36" xfId="0" applyFill="1" applyBorder="1" applyAlignment="1" applyProtection="1">
      <alignment wrapText="1"/>
      <protection locked="0"/>
    </xf>
    <xf numFmtId="2" fontId="3" fillId="48" borderId="22" xfId="0" applyNumberFormat="1" applyFont="1" applyFill="1" applyBorder="1" applyAlignment="1">
      <alignment horizontal="center" vertical="center" wrapText="1"/>
    </xf>
    <xf numFmtId="2" fontId="0" fillId="2" borderId="22" xfId="0" applyNumberFormat="1" applyFill="1" applyBorder="1" applyAlignment="1" applyProtection="1">
      <alignment wrapText="1"/>
      <protection locked="0"/>
    </xf>
    <xf numFmtId="2" fontId="0" fillId="74" borderId="20" xfId="0" applyNumberFormat="1" applyFill="1" applyBorder="1" applyAlignment="1" applyProtection="1">
      <alignment wrapText="1"/>
      <protection locked="0"/>
    </xf>
    <xf numFmtId="2" fontId="3" fillId="77" borderId="22" xfId="0" applyNumberFormat="1" applyFont="1" applyFill="1" applyBorder="1" applyAlignment="1">
      <alignment horizontal="right" vertical="center" wrapText="1"/>
    </xf>
    <xf numFmtId="0" fontId="19" fillId="85" borderId="6" xfId="2" applyFont="1" applyFill="1" applyAlignment="1">
      <alignment horizontal="center" vertical="center" wrapText="1"/>
    </xf>
    <xf numFmtId="2" fontId="0" fillId="0" borderId="0" xfId="0" applyNumberFormat="1"/>
    <xf numFmtId="2" fontId="3" fillId="58" borderId="20" xfId="0" applyNumberFormat="1" applyFont="1" applyFill="1" applyBorder="1" applyAlignment="1">
      <alignment horizontal="right" vertical="center" wrapText="1"/>
    </xf>
    <xf numFmtId="0" fontId="16" fillId="85" borderId="21" xfId="1" applyFont="1" applyFill="1" applyBorder="1" applyAlignment="1">
      <alignment horizontal="left" vertical="center" wrapText="1"/>
    </xf>
    <xf numFmtId="0" fontId="16" fillId="85" borderId="6" xfId="1" applyFont="1" applyFill="1" applyAlignment="1">
      <alignment horizontal="left" vertical="center" wrapText="1"/>
    </xf>
    <xf numFmtId="0" fontId="3" fillId="62" borderId="4" xfId="0" applyFont="1" applyFill="1" applyBorder="1" applyAlignment="1">
      <alignment horizontal="right" vertical="top" wrapText="1"/>
    </xf>
    <xf numFmtId="0" fontId="3" fillId="63" borderId="20" xfId="0" applyFont="1" applyFill="1" applyBorder="1" applyAlignment="1" applyProtection="1">
      <alignment horizontal="right" vertical="top" wrapText="1"/>
      <protection locked="0"/>
    </xf>
    <xf numFmtId="0" fontId="3" fillId="63" borderId="4" xfId="0" applyFont="1" applyFill="1" applyBorder="1" applyAlignment="1" applyProtection="1">
      <alignment horizontal="right" vertical="top" wrapText="1"/>
      <protection locked="0"/>
    </xf>
    <xf numFmtId="0" fontId="6" fillId="78" borderId="17" xfId="0" applyFont="1" applyFill="1" applyBorder="1" applyAlignment="1">
      <alignment horizontal="left" vertical="top" wrapText="1"/>
    </xf>
    <xf numFmtId="0" fontId="6" fillId="79" borderId="7" xfId="0" applyFont="1" applyFill="1" applyBorder="1" applyAlignment="1" applyProtection="1">
      <alignment horizontal="left" vertical="top" wrapText="1"/>
      <protection locked="0"/>
    </xf>
    <xf numFmtId="0" fontId="6" fillId="79" borderId="17" xfId="0" applyFont="1" applyFill="1" applyBorder="1" applyAlignment="1" applyProtection="1">
      <alignment horizontal="left" vertical="top" wrapText="1"/>
      <protection locked="0"/>
    </xf>
    <xf numFmtId="0" fontId="3" fillId="75" borderId="26" xfId="0" applyFont="1" applyFill="1" applyBorder="1" applyAlignment="1">
      <alignment horizontal="left" vertical="center" wrapText="1"/>
    </xf>
    <xf numFmtId="0" fontId="3" fillId="80" borderId="5" xfId="0" applyFont="1" applyFill="1" applyBorder="1" applyAlignment="1" applyProtection="1">
      <alignment horizontal="left" vertical="center" wrapText="1"/>
      <protection locked="0"/>
    </xf>
    <xf numFmtId="0" fontId="2" fillId="81" borderId="6" xfId="0" applyFont="1" applyFill="1" applyBorder="1" applyAlignment="1">
      <alignment horizontal="center" vertical="center" wrapText="1"/>
    </xf>
    <xf numFmtId="0" fontId="2" fillId="83" borderId="6" xfId="0" applyFont="1" applyFill="1" applyBorder="1" applyAlignment="1" applyProtection="1">
      <alignment horizontal="center" vertical="center" wrapText="1"/>
      <protection locked="0"/>
    </xf>
    <xf numFmtId="0" fontId="2" fillId="82" borderId="22" xfId="0" applyFont="1" applyFill="1" applyBorder="1" applyAlignment="1">
      <alignment horizontal="right" vertical="center" wrapText="1"/>
    </xf>
    <xf numFmtId="0" fontId="2" fillId="84" borderId="22" xfId="0" applyFont="1" applyFill="1" applyBorder="1" applyAlignment="1" applyProtection="1">
      <alignment horizontal="right" vertical="center" wrapText="1"/>
      <protection locked="0"/>
    </xf>
    <xf numFmtId="0" fontId="14" fillId="78" borderId="17" xfId="0" applyFont="1" applyFill="1" applyBorder="1" applyAlignment="1">
      <alignment horizontal="left" vertical="top" wrapText="1"/>
    </xf>
    <xf numFmtId="0" fontId="6" fillId="79" borderId="27" xfId="0" applyFont="1" applyFill="1" applyBorder="1" applyAlignment="1" applyProtection="1">
      <alignment horizontal="left" vertical="top" wrapText="1"/>
      <protection locked="0"/>
    </xf>
    <xf numFmtId="0" fontId="6" fillId="79" borderId="28" xfId="0" applyFont="1" applyFill="1" applyBorder="1" applyAlignment="1" applyProtection="1">
      <alignment horizontal="left" vertical="top" wrapText="1"/>
      <protection locked="0"/>
    </xf>
    <xf numFmtId="0" fontId="3" fillId="17" borderId="6" xfId="0" applyFont="1" applyFill="1" applyBorder="1" applyAlignment="1">
      <alignment horizontal="left" vertical="center" wrapText="1"/>
    </xf>
    <xf numFmtId="0" fontId="3" fillId="18" borderId="6" xfId="0" applyFont="1" applyFill="1" applyBorder="1" applyAlignment="1" applyProtection="1">
      <alignment horizontal="left" vertical="center" wrapText="1"/>
      <protection locked="0"/>
    </xf>
    <xf numFmtId="0" fontId="2" fillId="11" borderId="19" xfId="0" applyFont="1" applyFill="1" applyBorder="1" applyAlignment="1">
      <alignment horizontal="left" vertical="center" wrapText="1"/>
    </xf>
    <xf numFmtId="0" fontId="2" fillId="12" borderId="4" xfId="0" applyFont="1" applyFill="1" applyBorder="1" applyAlignment="1" applyProtection="1">
      <alignment horizontal="left" vertical="center" wrapText="1"/>
      <protection locked="0"/>
    </xf>
    <xf numFmtId="0" fontId="2" fillId="22" borderId="24" xfId="0" applyFont="1" applyFill="1" applyBorder="1" applyAlignment="1">
      <alignment horizontal="left" vertical="center" wrapText="1"/>
    </xf>
    <xf numFmtId="0" fontId="2" fillId="23" borderId="10" xfId="0" applyFont="1" applyFill="1" applyBorder="1" applyAlignment="1" applyProtection="1">
      <alignment horizontal="left" vertical="center" wrapText="1"/>
      <protection locked="0"/>
    </xf>
    <xf numFmtId="0" fontId="3" fillId="40" borderId="10" xfId="0" applyFont="1" applyFill="1" applyBorder="1" applyAlignment="1">
      <alignment horizontal="left" vertical="center" wrapText="1"/>
    </xf>
    <xf numFmtId="0" fontId="3" fillId="41" borderId="10" xfId="0" applyFont="1" applyFill="1" applyBorder="1" applyAlignment="1" applyProtection="1">
      <alignment horizontal="left" vertical="center" wrapText="1"/>
      <protection locked="0"/>
    </xf>
    <xf numFmtId="0" fontId="2" fillId="66" borderId="10" xfId="0" applyFont="1" applyFill="1" applyBorder="1" applyAlignment="1">
      <alignment horizontal="right" vertical="center" wrapText="1"/>
    </xf>
    <xf numFmtId="0" fontId="2" fillId="67" borderId="10" xfId="0" applyFont="1" applyFill="1" applyBorder="1" applyAlignment="1" applyProtection="1">
      <alignment horizontal="right" vertical="center" wrapText="1"/>
      <protection locked="0"/>
    </xf>
    <xf numFmtId="0" fontId="2" fillId="67" borderId="34" xfId="0" applyFont="1" applyFill="1" applyBorder="1" applyAlignment="1" applyProtection="1">
      <alignment horizontal="right" vertical="center" wrapText="1"/>
      <protection locked="0"/>
    </xf>
    <xf numFmtId="0" fontId="2" fillId="69" borderId="29" xfId="0" applyFont="1" applyFill="1" applyBorder="1" applyAlignment="1">
      <alignment horizontal="right" vertical="center" wrapText="1"/>
    </xf>
    <xf numFmtId="0" fontId="2" fillId="70" borderId="29" xfId="0" applyFont="1" applyFill="1" applyBorder="1" applyAlignment="1" applyProtection="1">
      <alignment horizontal="right" vertical="center" wrapText="1"/>
      <protection locked="0"/>
    </xf>
    <xf numFmtId="0" fontId="1" fillId="3" borderId="14" xfId="0" applyFont="1" applyFill="1" applyBorder="1" applyAlignment="1">
      <alignment horizontal="center" vertical="center" wrapText="1"/>
    </xf>
    <xf numFmtId="0" fontId="1" fillId="4" borderId="15" xfId="0" applyFont="1" applyFill="1" applyBorder="1" applyAlignment="1" applyProtection="1">
      <alignment horizontal="center" vertical="center" wrapText="1"/>
      <protection locked="0"/>
    </xf>
    <xf numFmtId="0" fontId="1" fillId="4" borderId="16" xfId="0" applyFont="1" applyFill="1" applyBorder="1" applyAlignment="1" applyProtection="1">
      <alignment horizontal="center" vertical="center" wrapText="1"/>
      <protection locked="0"/>
    </xf>
    <xf numFmtId="0" fontId="15" fillId="5" borderId="17" xfId="0" applyFont="1" applyFill="1" applyBorder="1" applyAlignment="1">
      <alignment horizontal="center" vertical="center" wrapText="1"/>
    </xf>
    <xf numFmtId="0" fontId="15" fillId="6" borderId="3" xfId="0" applyFont="1" applyFill="1" applyBorder="1" applyAlignment="1" applyProtection="1">
      <alignment horizontal="center" vertical="center" wrapText="1"/>
      <protection locked="0"/>
    </xf>
    <xf numFmtId="0" fontId="15" fillId="6" borderId="18" xfId="0" applyFont="1" applyFill="1" applyBorder="1" applyAlignment="1" applyProtection="1">
      <alignment horizontal="center" vertical="center" wrapText="1"/>
      <protection locked="0"/>
    </xf>
    <xf numFmtId="0" fontId="2" fillId="7" borderId="19" xfId="0" applyFont="1" applyFill="1" applyBorder="1" applyAlignment="1">
      <alignment horizontal="left" vertical="top" wrapText="1"/>
    </xf>
    <xf numFmtId="0" fontId="2" fillId="8" borderId="4" xfId="0" applyFont="1" applyFill="1" applyBorder="1" applyAlignment="1" applyProtection="1">
      <alignment horizontal="left" vertical="top" wrapText="1"/>
      <protection locked="0"/>
    </xf>
    <xf numFmtId="0" fontId="2" fillId="11" borderId="4" xfId="0" applyFont="1" applyFill="1" applyBorder="1" applyAlignment="1">
      <alignment horizontal="left" vertical="center" wrapText="1"/>
    </xf>
    <xf numFmtId="0" fontId="2" fillId="12" borderId="20" xfId="0" applyFont="1" applyFill="1" applyBorder="1" applyAlignment="1" applyProtection="1">
      <alignment horizontal="left" vertical="center" wrapText="1"/>
      <protection locked="0"/>
    </xf>
    <xf numFmtId="0" fontId="3" fillId="13" borderId="21" xfId="0" applyFont="1" applyFill="1" applyBorder="1" applyAlignment="1">
      <alignment horizontal="left" vertical="top" wrapText="1"/>
    </xf>
    <xf numFmtId="0" fontId="3" fillId="14" borderId="6" xfId="0" applyFont="1" applyFill="1" applyBorder="1" applyAlignment="1" applyProtection="1">
      <alignment horizontal="left" vertical="top" wrapText="1"/>
      <protection locked="0"/>
    </xf>
    <xf numFmtId="0" fontId="3" fillId="14" borderId="21" xfId="0" applyFont="1" applyFill="1" applyBorder="1" applyAlignment="1" applyProtection="1">
      <alignment horizontal="left" vertical="top" wrapText="1"/>
      <protection locked="0"/>
    </xf>
    <xf numFmtId="0" fontId="3" fillId="18" borderId="22" xfId="0" applyFont="1" applyFill="1" applyBorder="1" applyAlignment="1" applyProtection="1">
      <alignment horizontal="left" vertical="center" wrapText="1"/>
      <protection locked="0"/>
    </xf>
    <xf numFmtId="0" fontId="4" fillId="19" borderId="8" xfId="0" applyFont="1" applyFill="1" applyBorder="1" applyAlignment="1">
      <alignment horizontal="left" vertical="top" wrapText="1"/>
    </xf>
    <xf numFmtId="0" fontId="4" fillId="20" borderId="8" xfId="0" applyFont="1" applyFill="1" applyBorder="1" applyAlignment="1" applyProtection="1">
      <alignment horizontal="left" vertical="top" wrapText="1"/>
      <protection locked="0"/>
    </xf>
    <xf numFmtId="0" fontId="4" fillId="20" borderId="23" xfId="0" applyFont="1" applyFill="1" applyBorder="1" applyAlignment="1" applyProtection="1">
      <alignment horizontal="left" vertical="top" wrapText="1"/>
      <protection locked="0"/>
    </xf>
    <xf numFmtId="0" fontId="3" fillId="21" borderId="9" xfId="0" applyFont="1" applyFill="1" applyBorder="1" applyAlignment="1">
      <alignment horizontal="left" vertical="top" wrapText="1"/>
    </xf>
    <xf numFmtId="0" fontId="3" fillId="24" borderId="9" xfId="0" applyFont="1" applyFill="1" applyBorder="1" applyAlignment="1" applyProtection="1">
      <alignment horizontal="left" vertical="top" wrapText="1"/>
      <protection locked="0"/>
    </xf>
    <xf numFmtId="0" fontId="2" fillId="22" borderId="10" xfId="0" applyFont="1" applyFill="1" applyBorder="1" applyAlignment="1">
      <alignment horizontal="left" vertical="center" wrapText="1"/>
    </xf>
    <xf numFmtId="0" fontId="2" fillId="46" borderId="8" xfId="0" applyFont="1" applyFill="1" applyBorder="1" applyAlignment="1">
      <alignment horizontal="center" vertical="center" wrapText="1"/>
    </xf>
    <xf numFmtId="0" fontId="2" fillId="47" borderId="8" xfId="0" applyFont="1" applyFill="1" applyBorder="1" applyAlignment="1" applyProtection="1">
      <alignment horizontal="center" vertical="center" wrapText="1"/>
      <protection locked="0"/>
    </xf>
    <xf numFmtId="0" fontId="3" fillId="48" borderId="6" xfId="0" applyFont="1" applyFill="1" applyBorder="1" applyAlignment="1">
      <alignment horizontal="center" vertical="center" wrapText="1"/>
    </xf>
    <xf numFmtId="0" fontId="3" fillId="49" borderId="6" xfId="0" applyFont="1" applyFill="1" applyBorder="1" applyAlignment="1" applyProtection="1">
      <alignment horizontal="center" vertical="center" wrapText="1"/>
      <protection locked="0"/>
    </xf>
    <xf numFmtId="0" fontId="6" fillId="53" borderId="19" xfId="0" applyFont="1" applyFill="1" applyBorder="1" applyAlignment="1">
      <alignment horizontal="left" vertical="center" wrapText="1"/>
    </xf>
    <xf numFmtId="0" fontId="6" fillId="54" borderId="4" xfId="0" applyFont="1" applyFill="1" applyBorder="1" applyAlignment="1" applyProtection="1">
      <alignment horizontal="left" vertical="center" wrapText="1"/>
      <protection locked="0"/>
    </xf>
    <xf numFmtId="0" fontId="7" fillId="55" borderId="4" xfId="0" applyFont="1" applyFill="1" applyBorder="1" applyAlignment="1">
      <alignment horizontal="left" vertical="center" wrapText="1"/>
    </xf>
    <xf numFmtId="0" fontId="7" fillId="56" borderId="4" xfId="0" applyFont="1" applyFill="1" applyBorder="1" applyAlignment="1" applyProtection="1">
      <alignment horizontal="left" vertical="center" wrapText="1"/>
      <protection locked="0"/>
    </xf>
    <xf numFmtId="0" fontId="5" fillId="51" borderId="6" xfId="0" applyFont="1" applyFill="1" applyBorder="1" applyAlignment="1">
      <alignment horizontal="center" vertical="center" wrapText="1"/>
    </xf>
    <xf numFmtId="0" fontId="5" fillId="52" borderId="6" xfId="0" applyFont="1" applyFill="1" applyBorder="1" applyAlignment="1" applyProtection="1">
      <alignment horizontal="center" vertical="center" wrapText="1"/>
      <protection locked="0"/>
    </xf>
    <xf numFmtId="0" fontId="3" fillId="40" borderId="24" xfId="0" applyFont="1" applyFill="1" applyBorder="1" applyAlignment="1">
      <alignment horizontal="left" vertical="center" wrapText="1"/>
    </xf>
    <xf numFmtId="0" fontId="3" fillId="44" borderId="9" xfId="0" applyFont="1" applyFill="1" applyBorder="1" applyAlignment="1">
      <alignment horizontal="left" vertical="center" wrapText="1"/>
    </xf>
    <xf numFmtId="0" fontId="3" fillId="45" borderId="9" xfId="0" applyFont="1" applyFill="1" applyBorder="1" applyAlignment="1" applyProtection="1">
      <alignment horizontal="left" vertical="center" wrapText="1"/>
      <protection locked="0"/>
    </xf>
    <xf numFmtId="0" fontId="3" fillId="41" borderId="34" xfId="0" applyFont="1" applyFill="1" applyBorder="1" applyAlignment="1" applyProtection="1">
      <alignment horizontal="left" vertical="center" wrapText="1"/>
      <protection locked="0"/>
    </xf>
    <xf numFmtId="0" fontId="3" fillId="17" borderId="21" xfId="0" applyFont="1" applyFill="1" applyBorder="1" applyAlignment="1">
      <alignment horizontal="left" vertical="center" wrapText="1"/>
    </xf>
    <xf numFmtId="0" fontId="3" fillId="15" borderId="3" xfId="0" applyFont="1" applyFill="1" applyBorder="1" applyAlignment="1">
      <alignment horizontal="left" vertical="center" wrapText="1"/>
    </xf>
    <xf numFmtId="0" fontId="3" fillId="37" borderId="3" xfId="0" applyFont="1" applyFill="1" applyBorder="1" applyAlignment="1" applyProtection="1">
      <alignment horizontal="left" vertical="center" wrapText="1"/>
      <protection locked="0"/>
    </xf>
    <xf numFmtId="0" fontId="2" fillId="9" borderId="1" xfId="0" applyFont="1" applyFill="1" applyBorder="1" applyAlignment="1">
      <alignment horizontal="left" vertical="center" wrapText="1"/>
    </xf>
    <xf numFmtId="0" fontId="2" fillId="32" borderId="1" xfId="0" applyFont="1" applyFill="1" applyBorder="1" applyAlignment="1" applyProtection="1">
      <alignment horizontal="left" vertical="center" wrapText="1"/>
      <protection locked="0"/>
    </xf>
    <xf numFmtId="0" fontId="4" fillId="42" borderId="6" xfId="0" applyFont="1" applyFill="1" applyBorder="1" applyAlignment="1">
      <alignment horizontal="left" vertical="top" wrapText="1"/>
    </xf>
    <xf numFmtId="0" fontId="4" fillId="43" borderId="6" xfId="0" applyFont="1" applyFill="1" applyBorder="1" applyAlignment="1" applyProtection="1">
      <alignment horizontal="left" vertical="top" wrapText="1"/>
      <protection locked="0"/>
    </xf>
    <xf numFmtId="0" fontId="4" fillId="43" borderId="22" xfId="0" applyFont="1" applyFill="1" applyBorder="1" applyAlignment="1" applyProtection="1">
      <alignment horizontal="left" vertical="top" wrapText="1"/>
      <protection locked="0"/>
    </xf>
    <xf numFmtId="0" fontId="3" fillId="38" borderId="12" xfId="0" applyFont="1" applyFill="1" applyBorder="1" applyAlignment="1">
      <alignment horizontal="left" vertical="center" wrapText="1"/>
    </xf>
    <xf numFmtId="0" fontId="3" fillId="39" borderId="12" xfId="0" applyFont="1" applyFill="1" applyBorder="1" applyAlignment="1" applyProtection="1">
      <alignment horizontal="left" vertical="center" wrapText="1"/>
      <protection locked="0"/>
    </xf>
    <xf numFmtId="0" fontId="2" fillId="35" borderId="6" xfId="0" applyFont="1" applyFill="1" applyBorder="1" applyAlignment="1">
      <alignment horizontal="left" vertical="center" wrapText="1"/>
    </xf>
    <xf numFmtId="0" fontId="2" fillId="36" borderId="6" xfId="0" applyFont="1" applyFill="1" applyBorder="1" applyAlignment="1" applyProtection="1">
      <alignment horizontal="left" vertical="center" wrapText="1"/>
      <protection locked="0"/>
    </xf>
    <xf numFmtId="0" fontId="2" fillId="36" borderId="22" xfId="0" applyFont="1" applyFill="1" applyBorder="1" applyAlignment="1" applyProtection="1">
      <alignment horizontal="left" vertical="center" wrapText="1"/>
      <protection locked="0"/>
    </xf>
    <xf numFmtId="0" fontId="2" fillId="26" borderId="11" xfId="0" applyFont="1" applyFill="1" applyBorder="1" applyAlignment="1">
      <alignment horizontal="left" vertical="center" wrapText="1"/>
    </xf>
    <xf numFmtId="0" fontId="2" fillId="27" borderId="11" xfId="0" applyFont="1" applyFill="1" applyBorder="1" applyAlignment="1" applyProtection="1">
      <alignment horizontal="left" vertical="center" wrapText="1"/>
      <protection locked="0"/>
    </xf>
    <xf numFmtId="0" fontId="2" fillId="27" borderId="31" xfId="0" applyFont="1" applyFill="1" applyBorder="1" applyAlignment="1" applyProtection="1">
      <alignment horizontal="left" vertical="center" wrapText="1"/>
      <protection locked="0"/>
    </xf>
    <xf numFmtId="0" fontId="3" fillId="28" borderId="32" xfId="0" applyFont="1" applyFill="1" applyBorder="1" applyAlignment="1">
      <alignment horizontal="left" vertical="top" wrapText="1"/>
    </xf>
    <xf numFmtId="0" fontId="3" fillId="29" borderId="12" xfId="0" applyFont="1" applyFill="1" applyBorder="1" applyAlignment="1" applyProtection="1">
      <alignment horizontal="left" vertical="top" wrapText="1"/>
      <protection locked="0"/>
    </xf>
    <xf numFmtId="0" fontId="3" fillId="30" borderId="13" xfId="0" applyFont="1" applyFill="1" applyBorder="1" applyAlignment="1">
      <alignment horizontal="left" vertical="top" wrapText="1"/>
    </xf>
    <xf numFmtId="0" fontId="3" fillId="31" borderId="13" xfId="0" applyFont="1" applyFill="1" applyBorder="1" applyAlignment="1" applyProtection="1">
      <alignment horizontal="left" vertical="top" wrapText="1"/>
      <protection locked="0"/>
    </xf>
    <xf numFmtId="0" fontId="3" fillId="31" borderId="33" xfId="0" applyFont="1" applyFill="1" applyBorder="1" applyAlignment="1" applyProtection="1">
      <alignment horizontal="left" vertical="top" wrapText="1"/>
      <protection locked="0"/>
    </xf>
    <xf numFmtId="0" fontId="2" fillId="33" borderId="7" xfId="0" applyFont="1" applyFill="1" applyBorder="1" applyAlignment="1">
      <alignment horizontal="left" vertical="center" wrapText="1"/>
    </xf>
    <xf numFmtId="0" fontId="2" fillId="34" borderId="7" xfId="0" applyFont="1" applyFill="1" applyBorder="1" applyAlignment="1" applyProtection="1">
      <alignment horizontal="left" vertical="center" wrapText="1"/>
      <protection locked="0"/>
    </xf>
    <xf numFmtId="0" fontId="2" fillId="10" borderId="26" xfId="0" applyFont="1" applyFill="1" applyBorder="1" applyAlignment="1">
      <alignment horizontal="left" vertical="center" wrapText="1"/>
    </xf>
    <xf numFmtId="0" fontId="2" fillId="25" borderId="5" xfId="0" applyFont="1" applyFill="1" applyBorder="1" applyAlignment="1" applyProtection="1">
      <alignment horizontal="left" vertical="center" wrapText="1"/>
      <protection locked="0"/>
    </xf>
    <xf numFmtId="0" fontId="11" fillId="72" borderId="19" xfId="0" applyFont="1" applyFill="1" applyBorder="1" applyAlignment="1">
      <alignment horizontal="left" vertical="center" wrapText="1"/>
    </xf>
    <xf numFmtId="0" fontId="20" fillId="73" borderId="4" xfId="0" applyFont="1" applyFill="1" applyBorder="1" applyAlignment="1" applyProtection="1">
      <alignment horizontal="left" vertical="center" wrapText="1"/>
      <protection locked="0"/>
    </xf>
    <xf numFmtId="0" fontId="11" fillId="48" borderId="6" xfId="0" applyFont="1" applyFill="1" applyBorder="1" applyAlignment="1">
      <alignment horizontal="center" vertical="center" wrapText="1"/>
    </xf>
    <xf numFmtId="0" fontId="20" fillId="48" borderId="6" xfId="0" applyFont="1" applyFill="1" applyBorder="1" applyAlignment="1">
      <alignment horizontal="center" vertical="center" wrapText="1"/>
    </xf>
    <xf numFmtId="0" fontId="11" fillId="48" borderId="21" xfId="0" applyFont="1" applyFill="1" applyBorder="1" applyAlignment="1">
      <alignment horizontal="center" vertical="center" wrapText="1"/>
    </xf>
  </cellXfs>
  <cellStyles count="3">
    <cellStyle name="Normal" xfId="0" builtinId="0"/>
    <cellStyle name="Normal 2" xfId="1" xr:uid="{9C5FD4F8-F442-4BD6-8062-0B9D6E27A50A}"/>
    <cellStyle name="Normal 75" xfId="2" xr:uid="{9443CCA4-F04B-49D5-B9A2-885BCBCDAAF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I63"/>
  <sheetViews>
    <sheetView tabSelected="1" topLeftCell="A39" workbookViewId="0">
      <selection activeCell="J26" sqref="J21:J26"/>
    </sheetView>
  </sheetViews>
  <sheetFormatPr defaultRowHeight="15"/>
  <cols>
    <col min="1" max="1" width="10.7109375" customWidth="1"/>
    <col min="2" max="2" width="10.85546875" customWidth="1"/>
    <col min="3" max="3" width="10" customWidth="1"/>
    <col min="4" max="4" width="15.140625" customWidth="1"/>
    <col min="5" max="5" width="15.85546875" customWidth="1"/>
    <col min="6" max="6" width="9.140625" customWidth="1"/>
    <col min="7" max="7" width="10" customWidth="1"/>
    <col min="8" max="8" width="10.85546875" customWidth="1"/>
  </cols>
  <sheetData>
    <row r="1" spans="1:8" ht="15" customHeight="1">
      <c r="A1" s="73" t="s">
        <v>0</v>
      </c>
      <c r="B1" s="74"/>
      <c r="C1" s="74"/>
      <c r="D1" s="74"/>
      <c r="E1" s="74"/>
      <c r="F1" s="74"/>
      <c r="G1" s="74"/>
      <c r="H1" s="75"/>
    </row>
    <row r="2" spans="1:8" ht="15.75" thickBot="1">
      <c r="A2" s="76" t="s">
        <v>1</v>
      </c>
      <c r="B2" s="77"/>
      <c r="C2" s="77"/>
      <c r="D2" s="77"/>
      <c r="E2" s="77"/>
      <c r="F2" s="77"/>
      <c r="G2" s="77"/>
      <c r="H2" s="78"/>
    </row>
    <row r="3" spans="1:8" ht="12" customHeight="1">
      <c r="A3" s="79" t="s">
        <v>2</v>
      </c>
      <c r="B3" s="80"/>
      <c r="C3" s="80"/>
      <c r="D3" s="80"/>
      <c r="E3" s="2" t="s">
        <v>3</v>
      </c>
      <c r="F3" s="3" t="s">
        <v>4</v>
      </c>
      <c r="G3" s="81" t="s">
        <v>5</v>
      </c>
      <c r="H3" s="82"/>
    </row>
    <row r="4" spans="1:8" ht="12.95" customHeight="1" thickBot="1">
      <c r="A4" s="83" t="s">
        <v>6</v>
      </c>
      <c r="B4" s="84"/>
      <c r="C4" s="84"/>
      <c r="D4" s="84"/>
      <c r="E4" s="5" t="s">
        <v>7</v>
      </c>
      <c r="F4" s="6" t="s">
        <v>8</v>
      </c>
      <c r="G4" s="60" t="s">
        <v>9</v>
      </c>
      <c r="H4" s="86"/>
    </row>
    <row r="5" spans="1:8" ht="12" customHeight="1" thickBot="1">
      <c r="A5" s="85"/>
      <c r="B5" s="84"/>
      <c r="C5" s="84"/>
      <c r="D5" s="84"/>
      <c r="E5" s="2" t="s">
        <v>10</v>
      </c>
      <c r="F5" s="87" t="s">
        <v>11</v>
      </c>
      <c r="G5" s="88"/>
      <c r="H5" s="89"/>
    </row>
    <row r="6" spans="1:8" ht="21.95" customHeight="1" thickBot="1">
      <c r="A6" s="85"/>
      <c r="B6" s="84"/>
      <c r="C6" s="84"/>
      <c r="D6" s="84"/>
      <c r="E6" s="90" t="s">
        <v>12</v>
      </c>
      <c r="F6" s="88"/>
      <c r="G6" s="88"/>
      <c r="H6" s="89"/>
    </row>
    <row r="7" spans="1:8" ht="12" customHeight="1" thickBot="1">
      <c r="A7" s="64" t="s">
        <v>13</v>
      </c>
      <c r="B7" s="65"/>
      <c r="C7" s="92" t="s">
        <v>14</v>
      </c>
      <c r="D7" s="65"/>
      <c r="E7" s="91"/>
      <c r="F7" s="88"/>
      <c r="G7" s="88"/>
      <c r="H7" s="89"/>
    </row>
    <row r="8" spans="1:8" ht="12.95" customHeight="1">
      <c r="A8" s="130" t="s">
        <v>15</v>
      </c>
      <c r="B8" s="131"/>
      <c r="C8" s="131"/>
      <c r="D8" s="131"/>
      <c r="E8" s="120" t="s">
        <v>16</v>
      </c>
      <c r="F8" s="121"/>
      <c r="G8" s="121"/>
      <c r="H8" s="122"/>
    </row>
    <row r="9" spans="1:8" ht="50.1" customHeight="1" thickBot="1">
      <c r="A9" s="123" t="s">
        <v>17</v>
      </c>
      <c r="B9" s="124"/>
      <c r="C9" s="124"/>
      <c r="D9" s="124"/>
      <c r="E9" s="125" t="s">
        <v>17</v>
      </c>
      <c r="F9" s="126"/>
      <c r="G9" s="126"/>
      <c r="H9" s="127"/>
    </row>
    <row r="10" spans="1:8" ht="12.95" customHeight="1">
      <c r="A10" s="130" t="s">
        <v>18</v>
      </c>
      <c r="B10" s="131"/>
      <c r="C10" s="131"/>
      <c r="D10" s="131"/>
      <c r="E10" s="120" t="s">
        <v>19</v>
      </c>
      <c r="F10" s="121"/>
      <c r="G10" s="121"/>
      <c r="H10" s="122"/>
    </row>
    <row r="11" spans="1:8" ht="50.1" customHeight="1" thickBot="1">
      <c r="A11" s="123" t="s">
        <v>20</v>
      </c>
      <c r="B11" s="124"/>
      <c r="C11" s="124"/>
      <c r="D11" s="124"/>
      <c r="E11" s="125" t="s">
        <v>17</v>
      </c>
      <c r="F11" s="126"/>
      <c r="G11" s="126"/>
      <c r="H11" s="127"/>
    </row>
    <row r="12" spans="1:8" ht="11.1" customHeight="1">
      <c r="A12" s="62" t="s">
        <v>21</v>
      </c>
      <c r="B12" s="63"/>
      <c r="C12" s="110" t="s">
        <v>22</v>
      </c>
      <c r="D12" s="111"/>
      <c r="E12" s="128" t="s">
        <v>23</v>
      </c>
      <c r="F12" s="129"/>
      <c r="G12" s="117" t="s">
        <v>24</v>
      </c>
      <c r="H12" s="119"/>
    </row>
    <row r="13" spans="1:8" ht="12" customHeight="1" thickBot="1">
      <c r="A13" s="107" t="s">
        <v>25</v>
      </c>
      <c r="B13" s="61"/>
      <c r="C13" s="108" t="s">
        <v>26</v>
      </c>
      <c r="D13" s="109"/>
      <c r="E13" s="115" t="s">
        <v>27</v>
      </c>
      <c r="F13" s="116"/>
      <c r="G13" s="66" t="s">
        <v>28</v>
      </c>
      <c r="H13" s="106"/>
    </row>
    <row r="14" spans="1:8" ht="11.1" customHeight="1">
      <c r="A14" s="62" t="s">
        <v>29</v>
      </c>
      <c r="B14" s="63"/>
      <c r="C14" s="110" t="s">
        <v>30</v>
      </c>
      <c r="D14" s="111"/>
      <c r="E14" s="117" t="s">
        <v>31</v>
      </c>
      <c r="F14" s="118"/>
      <c r="G14" s="118"/>
      <c r="H14" s="119"/>
    </row>
    <row r="15" spans="1:8" ht="11.1" customHeight="1" thickBot="1">
      <c r="A15" s="107" t="s">
        <v>32</v>
      </c>
      <c r="B15" s="61"/>
      <c r="C15" s="108" t="s">
        <v>33</v>
      </c>
      <c r="D15" s="109"/>
      <c r="E15" s="60" t="s">
        <v>34</v>
      </c>
      <c r="F15" s="61"/>
      <c r="G15" s="61"/>
      <c r="H15" s="86"/>
    </row>
    <row r="16" spans="1:8" ht="30" customHeight="1">
      <c r="A16" s="62" t="s">
        <v>35</v>
      </c>
      <c r="B16" s="63"/>
      <c r="C16" s="110" t="s">
        <v>36</v>
      </c>
      <c r="D16" s="111"/>
      <c r="E16" s="112" t="s">
        <v>37</v>
      </c>
      <c r="F16" s="113"/>
      <c r="G16" s="113"/>
      <c r="H16" s="114"/>
    </row>
    <row r="17" spans="1:8" ht="15" customHeight="1" thickBot="1">
      <c r="A17" s="103" t="s">
        <v>38</v>
      </c>
      <c r="B17" s="67"/>
      <c r="C17" s="104" t="s">
        <v>39</v>
      </c>
      <c r="D17" s="105"/>
      <c r="E17" s="66" t="s">
        <v>40</v>
      </c>
      <c r="F17" s="67"/>
      <c r="G17" s="67"/>
      <c r="H17" s="106"/>
    </row>
    <row r="18" spans="1:8" ht="39.950000000000003" customHeight="1" thickBot="1">
      <c r="A18" s="23" t="s">
        <v>41</v>
      </c>
      <c r="B18" s="11" t="s">
        <v>42</v>
      </c>
      <c r="C18" s="11" t="s">
        <v>43</v>
      </c>
      <c r="D18" s="93" t="s">
        <v>44</v>
      </c>
      <c r="E18" s="94"/>
      <c r="F18" s="11" t="s">
        <v>45</v>
      </c>
      <c r="G18" s="11" t="s">
        <v>46</v>
      </c>
      <c r="H18" s="24" t="s">
        <v>47</v>
      </c>
    </row>
    <row r="19" spans="1:8" ht="30" customHeight="1">
      <c r="A19" s="136" t="s">
        <v>112</v>
      </c>
      <c r="B19" s="12" t="s">
        <v>48</v>
      </c>
      <c r="C19" s="12" t="s">
        <v>48</v>
      </c>
      <c r="D19" s="95" t="s">
        <v>49</v>
      </c>
      <c r="E19" s="96"/>
      <c r="F19" s="13" t="s">
        <v>50</v>
      </c>
      <c r="G19" s="13" t="s">
        <v>50</v>
      </c>
      <c r="H19" s="26" t="s">
        <v>50</v>
      </c>
    </row>
    <row r="20" spans="1:8" ht="15" customHeight="1">
      <c r="A20" s="27"/>
      <c r="B20" s="28"/>
      <c r="C20" s="28"/>
      <c r="D20" s="101" t="s">
        <v>51</v>
      </c>
      <c r="E20" s="102"/>
      <c r="F20" s="28"/>
      <c r="G20" s="28"/>
      <c r="H20" s="29"/>
    </row>
    <row r="21" spans="1:8" ht="35.1" customHeight="1">
      <c r="A21" s="25" t="s">
        <v>52</v>
      </c>
      <c r="B21" s="12" t="s">
        <v>53</v>
      </c>
      <c r="C21" s="12" t="s">
        <v>53</v>
      </c>
      <c r="D21" s="60" t="s">
        <v>54</v>
      </c>
      <c r="E21" s="61"/>
      <c r="F21" s="135" t="s">
        <v>111</v>
      </c>
      <c r="G21" s="12">
        <v>5.42</v>
      </c>
      <c r="H21" s="36">
        <f>+G21*1200</f>
        <v>6504</v>
      </c>
    </row>
    <row r="22" spans="1:8" ht="35.1" customHeight="1">
      <c r="A22" s="43" t="s">
        <v>105</v>
      </c>
      <c r="B22" s="44"/>
      <c r="C22" s="44"/>
      <c r="D22" s="44"/>
      <c r="E22" s="44"/>
      <c r="F22" s="44"/>
      <c r="G22" s="40">
        <v>0.17499999999999999</v>
      </c>
      <c r="H22" s="36">
        <f>+G22*1200</f>
        <v>210</v>
      </c>
    </row>
    <row r="23" spans="1:8" ht="35.1" customHeight="1">
      <c r="A23" s="25" t="s">
        <v>55</v>
      </c>
      <c r="B23" s="12" t="s">
        <v>56</v>
      </c>
      <c r="C23" s="12" t="s">
        <v>57</v>
      </c>
      <c r="D23" s="60" t="s">
        <v>58</v>
      </c>
      <c r="E23" s="61"/>
      <c r="F23" s="135" t="s">
        <v>110</v>
      </c>
      <c r="G23" s="12">
        <v>6.97</v>
      </c>
      <c r="H23" s="36">
        <f>+G23*1800</f>
        <v>12546</v>
      </c>
    </row>
    <row r="24" spans="1:8" ht="35.1" customHeight="1">
      <c r="A24" s="43" t="s">
        <v>105</v>
      </c>
      <c r="B24" s="44"/>
      <c r="C24" s="44"/>
      <c r="D24" s="44"/>
      <c r="E24" s="44"/>
      <c r="F24" s="44"/>
      <c r="G24" s="40">
        <v>0.17499999999999999</v>
      </c>
      <c r="H24" s="36">
        <f>+G24*1800</f>
        <v>315</v>
      </c>
    </row>
    <row r="25" spans="1:8" ht="35.1" customHeight="1">
      <c r="A25" s="25" t="s">
        <v>59</v>
      </c>
      <c r="B25" s="12" t="s">
        <v>60</v>
      </c>
      <c r="C25" s="12" t="s">
        <v>61</v>
      </c>
      <c r="D25" s="60" t="s">
        <v>62</v>
      </c>
      <c r="E25" s="61"/>
      <c r="F25" s="135" t="s">
        <v>110</v>
      </c>
      <c r="G25" s="12">
        <v>8.2200000000000006</v>
      </c>
      <c r="H25" s="36">
        <f>+G25*1800</f>
        <v>14796.000000000002</v>
      </c>
    </row>
    <row r="26" spans="1:8" ht="35.1" customHeight="1">
      <c r="A26" s="43" t="s">
        <v>105</v>
      </c>
      <c r="B26" s="44"/>
      <c r="C26" s="44"/>
      <c r="D26" s="44"/>
      <c r="E26" s="44"/>
      <c r="F26" s="44"/>
      <c r="G26" s="40">
        <v>0.17499999999999999</v>
      </c>
      <c r="H26" s="36">
        <f>+G26*1800</f>
        <v>315</v>
      </c>
    </row>
    <row r="27" spans="1:8" ht="35.1" customHeight="1">
      <c r="A27" s="25" t="s">
        <v>63</v>
      </c>
      <c r="B27" s="12" t="s">
        <v>64</v>
      </c>
      <c r="C27" s="12" t="s">
        <v>64</v>
      </c>
      <c r="D27" s="60" t="s">
        <v>65</v>
      </c>
      <c r="E27" s="61"/>
      <c r="F27" s="135" t="s">
        <v>109</v>
      </c>
      <c r="G27" s="12">
        <v>6.02</v>
      </c>
      <c r="H27" s="36">
        <f>+G27*320</f>
        <v>1926.3999999999999</v>
      </c>
    </row>
    <row r="28" spans="1:8" ht="35.1" customHeight="1">
      <c r="A28" s="43" t="s">
        <v>105</v>
      </c>
      <c r="B28" s="44"/>
      <c r="C28" s="44"/>
      <c r="D28" s="44"/>
      <c r="E28" s="44"/>
      <c r="F28" s="44"/>
      <c r="G28" s="40">
        <v>0.17499999999999999</v>
      </c>
      <c r="H28" s="36">
        <f>+G28*320</f>
        <v>56</v>
      </c>
    </row>
    <row r="29" spans="1:8" ht="35.1" customHeight="1">
      <c r="A29" s="25" t="s">
        <v>66</v>
      </c>
      <c r="B29" s="12" t="s">
        <v>67</v>
      </c>
      <c r="C29" s="12" t="s">
        <v>67</v>
      </c>
      <c r="D29" s="60" t="s">
        <v>68</v>
      </c>
      <c r="E29" s="61"/>
      <c r="F29" s="135" t="s">
        <v>108</v>
      </c>
      <c r="G29" s="12">
        <v>5.42</v>
      </c>
      <c r="H29" s="36">
        <f>+G29*600</f>
        <v>3252</v>
      </c>
    </row>
    <row r="30" spans="1:8" ht="35.1" customHeight="1">
      <c r="A30" s="43" t="s">
        <v>105</v>
      </c>
      <c r="B30" s="44"/>
      <c r="C30" s="44"/>
      <c r="D30" s="44"/>
      <c r="E30" s="44"/>
      <c r="F30" s="44"/>
      <c r="G30" s="40">
        <v>0.17499999999999999</v>
      </c>
      <c r="H30" s="36">
        <f>+G30*600</f>
        <v>105</v>
      </c>
    </row>
    <row r="31" spans="1:8" ht="35.1" customHeight="1">
      <c r="A31" s="25" t="s">
        <v>69</v>
      </c>
      <c r="B31" s="12" t="s">
        <v>70</v>
      </c>
      <c r="C31" s="12" t="s">
        <v>71</v>
      </c>
      <c r="D31" s="60" t="s">
        <v>72</v>
      </c>
      <c r="E31" s="61"/>
      <c r="F31" s="135" t="s">
        <v>108</v>
      </c>
      <c r="G31" s="12">
        <v>4.5199999999999996</v>
      </c>
      <c r="H31" s="36">
        <f>+G31*600</f>
        <v>2711.9999999999995</v>
      </c>
    </row>
    <row r="32" spans="1:8" ht="35.1" customHeight="1">
      <c r="A32" s="43" t="s">
        <v>105</v>
      </c>
      <c r="B32" s="44"/>
      <c r="C32" s="44"/>
      <c r="D32" s="44"/>
      <c r="E32" s="44"/>
      <c r="F32" s="44"/>
      <c r="G32" s="40">
        <v>0.17499999999999999</v>
      </c>
      <c r="H32" s="36">
        <f>+G32*600</f>
        <v>105</v>
      </c>
    </row>
    <row r="33" spans="1:8" ht="0.95" customHeight="1" thickBot="1">
      <c r="A33" s="27"/>
      <c r="B33" s="28"/>
      <c r="C33" s="28"/>
      <c r="D33" s="28"/>
      <c r="E33" s="28"/>
      <c r="F33" s="28"/>
      <c r="G33" s="28"/>
      <c r="H33" s="37"/>
    </row>
    <row r="34" spans="1:8">
      <c r="A34" s="97" t="s">
        <v>78</v>
      </c>
      <c r="B34" s="98"/>
      <c r="C34" s="99" t="s">
        <v>48</v>
      </c>
      <c r="D34" s="100"/>
      <c r="E34" s="100"/>
      <c r="F34" s="100"/>
      <c r="G34" s="14" t="s">
        <v>79</v>
      </c>
      <c r="H34" s="42">
        <f>+SUM(H20:H32)</f>
        <v>42842.400000000001</v>
      </c>
    </row>
    <row r="35" spans="1:8" ht="15.75" thickBot="1">
      <c r="A35" s="33"/>
      <c r="B35" s="28"/>
      <c r="C35" s="28"/>
      <c r="D35" s="28"/>
      <c r="E35" s="28"/>
      <c r="F35" s="28"/>
      <c r="G35" s="16" t="s">
        <v>80</v>
      </c>
      <c r="H35" s="30"/>
    </row>
    <row r="36" spans="1:8">
      <c r="A36" s="33"/>
      <c r="B36" s="28"/>
      <c r="C36" s="28"/>
      <c r="D36" s="28"/>
      <c r="E36" s="17"/>
      <c r="F36" s="45" t="s">
        <v>81</v>
      </c>
      <c r="G36" s="47"/>
      <c r="H36" s="46"/>
    </row>
    <row r="37" spans="1:8" ht="11.1" customHeight="1">
      <c r="A37" s="33"/>
      <c r="B37" s="28"/>
      <c r="C37" s="28"/>
      <c r="D37" s="28"/>
      <c r="E37" s="18"/>
      <c r="F37" s="28"/>
      <c r="G37" s="28"/>
      <c r="H37" s="30"/>
    </row>
    <row r="38" spans="1:8" ht="15.95" customHeight="1" thickBot="1">
      <c r="A38" s="33"/>
      <c r="B38" s="28"/>
      <c r="C38" s="28"/>
      <c r="D38" s="28"/>
      <c r="E38" s="19"/>
      <c r="F38" s="68" t="s">
        <v>82</v>
      </c>
      <c r="G38" s="69"/>
      <c r="H38" s="70"/>
    </row>
    <row r="39" spans="1:8" ht="15.75" thickBot="1">
      <c r="A39" s="34"/>
      <c r="B39" s="35"/>
      <c r="C39" s="35"/>
      <c r="D39" s="35"/>
      <c r="E39" s="35"/>
      <c r="F39" s="71" t="s">
        <v>83</v>
      </c>
      <c r="G39" s="72"/>
      <c r="H39" s="32" t="s">
        <v>84</v>
      </c>
    </row>
    <row r="40" spans="1:8" ht="20.100000000000001" customHeight="1" thickBot="1">
      <c r="A40" s="1"/>
      <c r="B40" s="1"/>
      <c r="C40" s="1"/>
      <c r="D40" s="1"/>
      <c r="E40" s="1"/>
      <c r="F40" s="1"/>
      <c r="G40" s="1"/>
      <c r="H40" s="1"/>
    </row>
    <row r="41" spans="1:8" ht="15" customHeight="1">
      <c r="A41" s="73" t="s">
        <v>0</v>
      </c>
      <c r="B41" s="74"/>
      <c r="C41" s="74"/>
      <c r="D41" s="74"/>
      <c r="E41" s="74"/>
      <c r="F41" s="74"/>
      <c r="G41" s="74"/>
      <c r="H41" s="75"/>
    </row>
    <row r="42" spans="1:8" ht="15.75" thickBot="1">
      <c r="A42" s="76" t="s">
        <v>1</v>
      </c>
      <c r="B42" s="77"/>
      <c r="C42" s="77"/>
      <c r="D42" s="77"/>
      <c r="E42" s="77"/>
      <c r="F42" s="77"/>
      <c r="G42" s="77"/>
      <c r="H42" s="78"/>
    </row>
    <row r="43" spans="1:8" ht="12" customHeight="1">
      <c r="A43" s="79" t="s">
        <v>2</v>
      </c>
      <c r="B43" s="80"/>
      <c r="C43" s="80"/>
      <c r="D43" s="80"/>
      <c r="E43" s="2" t="s">
        <v>3</v>
      </c>
      <c r="F43" s="3" t="s">
        <v>4</v>
      </c>
      <c r="G43" s="81" t="s">
        <v>5</v>
      </c>
      <c r="H43" s="82"/>
    </row>
    <row r="44" spans="1:8" ht="12.95" customHeight="1" thickBot="1">
      <c r="A44" s="83" t="s">
        <v>6</v>
      </c>
      <c r="B44" s="84"/>
      <c r="C44" s="84"/>
      <c r="D44" s="84"/>
      <c r="E44" s="5" t="s">
        <v>7</v>
      </c>
      <c r="F44" s="6" t="s">
        <v>8</v>
      </c>
      <c r="G44" s="60" t="s">
        <v>9</v>
      </c>
      <c r="H44" s="86"/>
    </row>
    <row r="45" spans="1:8" ht="12" customHeight="1" thickBot="1">
      <c r="A45" s="85"/>
      <c r="B45" s="84"/>
      <c r="C45" s="84"/>
      <c r="D45" s="84"/>
      <c r="E45" s="2" t="s">
        <v>10</v>
      </c>
      <c r="F45" s="87" t="s">
        <v>11</v>
      </c>
      <c r="G45" s="88"/>
      <c r="H45" s="89"/>
    </row>
    <row r="46" spans="1:8" ht="21.95" customHeight="1" thickBot="1">
      <c r="A46" s="85"/>
      <c r="B46" s="84"/>
      <c r="C46" s="84"/>
      <c r="D46" s="84"/>
      <c r="E46" s="90" t="s">
        <v>12</v>
      </c>
      <c r="F46" s="88"/>
      <c r="G46" s="88"/>
      <c r="H46" s="89"/>
    </row>
    <row r="47" spans="1:8" ht="12" customHeight="1" thickBot="1">
      <c r="A47" s="64" t="s">
        <v>13</v>
      </c>
      <c r="B47" s="65"/>
      <c r="C47" s="92" t="s">
        <v>14</v>
      </c>
      <c r="D47" s="65"/>
      <c r="E47" s="91"/>
      <c r="F47" s="88"/>
      <c r="G47" s="88"/>
      <c r="H47" s="89"/>
    </row>
    <row r="48" spans="1:8" ht="39.950000000000003" customHeight="1" thickBot="1">
      <c r="A48" s="23" t="s">
        <v>41</v>
      </c>
      <c r="B48" s="11" t="s">
        <v>42</v>
      </c>
      <c r="C48" s="11" t="s">
        <v>43</v>
      </c>
      <c r="D48" s="93" t="s">
        <v>44</v>
      </c>
      <c r="E48" s="94"/>
      <c r="F48" s="11" t="s">
        <v>45</v>
      </c>
      <c r="G48" s="11" t="s">
        <v>46</v>
      </c>
      <c r="H48" s="24" t="s">
        <v>47</v>
      </c>
    </row>
    <row r="49" spans="1:9" ht="30" customHeight="1">
      <c r="A49" s="25" t="s">
        <v>48</v>
      </c>
      <c r="B49" s="12" t="s">
        <v>48</v>
      </c>
      <c r="C49" s="12" t="s">
        <v>48</v>
      </c>
      <c r="D49" s="95" t="s">
        <v>49</v>
      </c>
      <c r="E49" s="96"/>
      <c r="F49" s="13" t="s">
        <v>50</v>
      </c>
      <c r="G49" s="13" t="s">
        <v>50</v>
      </c>
      <c r="H49" s="26" t="s">
        <v>50</v>
      </c>
    </row>
    <row r="50" spans="1:9" ht="35.1" customHeight="1">
      <c r="A50" s="25" t="s">
        <v>73</v>
      </c>
      <c r="B50" s="12" t="s">
        <v>74</v>
      </c>
      <c r="C50" s="12" t="s">
        <v>75</v>
      </c>
      <c r="D50" s="60" t="s">
        <v>76</v>
      </c>
      <c r="E50" s="61"/>
      <c r="F50" s="134" t="s">
        <v>106</v>
      </c>
      <c r="G50" s="12" t="s">
        <v>77</v>
      </c>
      <c r="H50" s="36">
        <f>+G50*704</f>
        <v>6878.08</v>
      </c>
    </row>
    <row r="51" spans="1:9" ht="35.1" customHeight="1">
      <c r="A51" s="25" t="s">
        <v>85</v>
      </c>
      <c r="B51" s="12" t="s">
        <v>86</v>
      </c>
      <c r="C51" s="12" t="s">
        <v>87</v>
      </c>
      <c r="D51" s="60" t="s">
        <v>88</v>
      </c>
      <c r="E51" s="61"/>
      <c r="F51" s="134" t="s">
        <v>106</v>
      </c>
      <c r="G51" s="12" t="s">
        <v>89</v>
      </c>
      <c r="H51" s="36">
        <f>+G51*704</f>
        <v>6223.36</v>
      </c>
    </row>
    <row r="52" spans="1:9" ht="35.1" customHeight="1">
      <c r="A52" s="25"/>
      <c r="B52" s="12"/>
      <c r="C52" s="12"/>
      <c r="D52" s="7"/>
      <c r="E52" s="8"/>
      <c r="F52" s="12"/>
      <c r="G52" s="12"/>
      <c r="H52" s="36"/>
    </row>
    <row r="53" spans="1:9" ht="35.1" customHeight="1">
      <c r="A53" s="25"/>
      <c r="B53" s="12"/>
      <c r="C53" s="12"/>
      <c r="D53" s="7"/>
      <c r="E53" s="8"/>
      <c r="F53" s="12"/>
      <c r="G53" s="12"/>
      <c r="H53" s="36"/>
    </row>
    <row r="54" spans="1:9" ht="15.75" thickBot="1">
      <c r="A54" s="27"/>
      <c r="B54" s="28"/>
      <c r="C54" s="28"/>
      <c r="D54" s="28"/>
      <c r="E54" s="28"/>
      <c r="F54" s="28"/>
      <c r="G54" s="28"/>
      <c r="H54" s="37"/>
    </row>
    <row r="55" spans="1:9" ht="15" customHeight="1" thickBot="1">
      <c r="A55" s="132" t="s">
        <v>107</v>
      </c>
      <c r="B55" s="133"/>
      <c r="C55" s="133"/>
      <c r="D55" s="133"/>
      <c r="E55" s="133"/>
      <c r="F55" s="133"/>
      <c r="G55" s="17"/>
      <c r="H55" s="38"/>
    </row>
    <row r="56" spans="1:9" ht="12" customHeight="1" thickBot="1">
      <c r="A56" s="62" t="s">
        <v>90</v>
      </c>
      <c r="B56" s="63"/>
      <c r="C56" s="4" t="s">
        <v>91</v>
      </c>
      <c r="D56" s="20" t="s">
        <v>92</v>
      </c>
      <c r="E56" s="4" t="s">
        <v>93</v>
      </c>
      <c r="F56" s="21" t="s">
        <v>94</v>
      </c>
      <c r="G56" s="22" t="s">
        <v>95</v>
      </c>
      <c r="H56" s="39">
        <f>+SUM(H49:H53)+H34</f>
        <v>55943.839999999997</v>
      </c>
      <c r="I56" s="41"/>
    </row>
    <row r="57" spans="1:9" ht="12" customHeight="1" thickBot="1">
      <c r="A57" s="64" t="s">
        <v>96</v>
      </c>
      <c r="B57" s="65"/>
      <c r="C57" s="66" t="s">
        <v>97</v>
      </c>
      <c r="D57" s="67"/>
      <c r="E57" s="9" t="s">
        <v>98</v>
      </c>
      <c r="F57" s="10" t="s">
        <v>99</v>
      </c>
      <c r="G57" s="45" t="s">
        <v>81</v>
      </c>
      <c r="H57" s="46"/>
    </row>
    <row r="58" spans="1:9" ht="15.95" customHeight="1">
      <c r="A58" s="48" t="s">
        <v>100</v>
      </c>
      <c r="B58" s="49"/>
      <c r="C58" s="49"/>
      <c r="D58" s="49"/>
      <c r="E58" s="49"/>
      <c r="F58" s="49"/>
      <c r="G58" s="47"/>
      <c r="H58" s="46"/>
    </row>
    <row r="59" spans="1:9" ht="36.950000000000003" customHeight="1" thickBot="1">
      <c r="A59" s="50"/>
      <c r="B59" s="49"/>
      <c r="C59" s="49"/>
      <c r="D59" s="49"/>
      <c r="E59" s="49"/>
      <c r="F59" s="49"/>
      <c r="G59" s="15"/>
      <c r="H59" s="30"/>
    </row>
    <row r="60" spans="1:9" ht="11.1" customHeight="1">
      <c r="A60" s="51" t="s">
        <v>101</v>
      </c>
      <c r="B60" s="52"/>
      <c r="C60" s="52"/>
      <c r="D60" s="52"/>
      <c r="E60" s="52"/>
      <c r="F60" s="52"/>
      <c r="G60" s="53" t="s">
        <v>102</v>
      </c>
      <c r="H60" s="55" t="s">
        <v>82</v>
      </c>
    </row>
    <row r="61" spans="1:9" ht="11.1" customHeight="1" thickBot="1">
      <c r="A61" s="57" t="s">
        <v>104</v>
      </c>
      <c r="B61" s="49"/>
      <c r="C61" s="49"/>
      <c r="D61" s="49"/>
      <c r="E61" s="49"/>
      <c r="F61" s="49"/>
      <c r="G61" s="54"/>
      <c r="H61" s="56"/>
    </row>
    <row r="62" spans="1:9" ht="21.95" customHeight="1" thickBot="1">
      <c r="A62" s="58"/>
      <c r="B62" s="59"/>
      <c r="C62" s="59"/>
      <c r="D62" s="59"/>
      <c r="E62" s="59"/>
      <c r="F62" s="59"/>
      <c r="G62" s="31" t="s">
        <v>103</v>
      </c>
      <c r="H62" s="32" t="s">
        <v>84</v>
      </c>
    </row>
    <row r="63" spans="1:9" ht="20.100000000000001" customHeight="1">
      <c r="A63" s="1"/>
      <c r="B63" s="1"/>
      <c r="C63" s="1"/>
      <c r="D63" s="1"/>
      <c r="E63" s="1"/>
      <c r="F63" s="1"/>
      <c r="G63" s="1"/>
      <c r="H63" s="1"/>
    </row>
  </sheetData>
  <mergeCells count="82">
    <mergeCell ref="A8:D8"/>
    <mergeCell ref="E8:H8"/>
    <mergeCell ref="A9:D9"/>
    <mergeCell ref="E9:H9"/>
    <mergeCell ref="A10:D10"/>
    <mergeCell ref="A1:H1"/>
    <mergeCell ref="A2:H2"/>
    <mergeCell ref="A3:D3"/>
    <mergeCell ref="G3:H3"/>
    <mergeCell ref="A4:D6"/>
    <mergeCell ref="G4:H4"/>
    <mergeCell ref="F5:H7"/>
    <mergeCell ref="E6:E7"/>
    <mergeCell ref="A7:B7"/>
    <mergeCell ref="C7:D7"/>
    <mergeCell ref="E10:H10"/>
    <mergeCell ref="A11:D11"/>
    <mergeCell ref="E11:H11"/>
    <mergeCell ref="A12:B12"/>
    <mergeCell ref="C12:D12"/>
    <mergeCell ref="E12:F12"/>
    <mergeCell ref="G12:H12"/>
    <mergeCell ref="A13:B13"/>
    <mergeCell ref="C13:D13"/>
    <mergeCell ref="E13:F13"/>
    <mergeCell ref="G13:H13"/>
    <mergeCell ref="A14:B14"/>
    <mergeCell ref="C14:D14"/>
    <mergeCell ref="E14:H14"/>
    <mergeCell ref="A15:B15"/>
    <mergeCell ref="C15:D15"/>
    <mergeCell ref="E15:H15"/>
    <mergeCell ref="A16:B16"/>
    <mergeCell ref="C16:D16"/>
    <mergeCell ref="E16:H16"/>
    <mergeCell ref="A17:B17"/>
    <mergeCell ref="C17:D17"/>
    <mergeCell ref="E17:H17"/>
    <mergeCell ref="D18:E18"/>
    <mergeCell ref="D19:E19"/>
    <mergeCell ref="D20:E20"/>
    <mergeCell ref="D21:E21"/>
    <mergeCell ref="D23:E23"/>
    <mergeCell ref="D25:E25"/>
    <mergeCell ref="D27:E27"/>
    <mergeCell ref="A22:F22"/>
    <mergeCell ref="A24:F24"/>
    <mergeCell ref="A26:F26"/>
    <mergeCell ref="A47:B47"/>
    <mergeCell ref="C47:D47"/>
    <mergeCell ref="D48:E48"/>
    <mergeCell ref="D49:E49"/>
    <mergeCell ref="D29:E29"/>
    <mergeCell ref="D31:E31"/>
    <mergeCell ref="A34:B34"/>
    <mergeCell ref="C34:F34"/>
    <mergeCell ref="A60:F60"/>
    <mergeCell ref="G60:G61"/>
    <mergeCell ref="H60:H61"/>
    <mergeCell ref="A61:F62"/>
    <mergeCell ref="D50:E50"/>
    <mergeCell ref="A55:F55"/>
    <mergeCell ref="A56:B56"/>
    <mergeCell ref="A57:B57"/>
    <mergeCell ref="C57:D57"/>
    <mergeCell ref="D51:E51"/>
    <mergeCell ref="A28:F28"/>
    <mergeCell ref="A30:F30"/>
    <mergeCell ref="A32:F32"/>
    <mergeCell ref="G57:H58"/>
    <mergeCell ref="A58:F59"/>
    <mergeCell ref="F36:H36"/>
    <mergeCell ref="F38:H38"/>
    <mergeCell ref="F39:G39"/>
    <mergeCell ref="A41:H41"/>
    <mergeCell ref="A42:H42"/>
    <mergeCell ref="A43:D43"/>
    <mergeCell ref="G43:H43"/>
    <mergeCell ref="A44:D46"/>
    <mergeCell ref="G44:H44"/>
    <mergeCell ref="F45:H47"/>
    <mergeCell ref="E46:E47"/>
  </mergeCells>
  <pageMargins left="0.27777777777777779" right="0.27777777777777779" top="0.27777777777777779" bottom="0.27777777777777779"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Act_commercial_invoice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2026-07-29T10:31:37Z</dcterms:created>
  <dcterms:modified xsi:type="dcterms:W3CDTF">2026-07-30T05:02:40Z</dcterms:modified>
</cp:coreProperties>
</file>