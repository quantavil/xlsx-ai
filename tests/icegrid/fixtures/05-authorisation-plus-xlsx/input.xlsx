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XPORT\LCL CONSOLE INDIA LTD\RIKKI PLASTIC PVT LTD\27E3100070 ADV LIC EXP-2627-278\"/>
    </mc:Choice>
  </mc:AlternateContent>
  <xr:revisionPtr revIDLastSave="0" documentId="8_{1B13E8D6-7D40-4652-9E58-A61FC900774F}" xr6:coauthVersionLast="47" xr6:coauthVersionMax="47" xr10:uidLastSave="{00000000-0000-0000-0000-000000000000}"/>
  <bookViews>
    <workbookView xWindow="-108" yWindow="-108" windowWidth="23256" windowHeight="12456" xr2:uid="{004D86F8-CDAC-4F8A-B364-A707B03A6F1D}"/>
  </bookViews>
  <sheets>
    <sheet name="EU INV 70" sheetId="1" r:id="rId1"/>
    <sheet name="EU PK 70" sheetId="2" r:id="rId2"/>
  </sheets>
  <definedNames>
    <definedName name="_xlnm.Print_Area" localSheetId="0">'EU INV 70'!$A$1:$I$43</definedName>
    <definedName name="_xlnm.Print_Area" localSheetId="1">'EU PK 70'!$A$1:$I$36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H26" i="2"/>
  <c r="I26" i="2" s="1"/>
  <c r="H25" i="2"/>
  <c r="M24" i="2"/>
  <c r="J24" i="2"/>
  <c r="H24" i="2"/>
  <c r="I24" i="2" s="1"/>
  <c r="M23" i="2"/>
  <c r="J23" i="2"/>
  <c r="H23" i="2"/>
  <c r="M22" i="2"/>
  <c r="J22" i="2"/>
  <c r="H22" i="2"/>
  <c r="I22" i="2" s="1"/>
  <c r="M21" i="2"/>
  <c r="J21" i="2"/>
  <c r="H21" i="2"/>
  <c r="I21" i="2" s="1"/>
  <c r="M20" i="2"/>
  <c r="J20" i="2"/>
  <c r="H20" i="2"/>
  <c r="L41" i="1"/>
  <c r="L42" i="1" s="1"/>
  <c r="L43" i="1" s="1"/>
  <c r="L44" i="1" s="1"/>
  <c r="L45" i="1" s="1"/>
  <c r="G35" i="1"/>
  <c r="I26" i="1"/>
  <c r="I25" i="1"/>
  <c r="K24" i="1"/>
  <c r="I24" i="1"/>
  <c r="I23" i="1"/>
  <c r="I22" i="1"/>
  <c r="K21" i="1"/>
  <c r="I21" i="1"/>
  <c r="I20" i="1"/>
  <c r="I35" i="1" s="1"/>
  <c r="L33" i="1" s="1"/>
  <c r="I20" i="2" l="1"/>
  <c r="I23" i="2"/>
  <c r="L34" i="1"/>
  <c r="L35" i="1" s="1"/>
  <c r="N33" i="1" s="1"/>
  <c r="I31" i="2"/>
  <c r="C33" i="2" s="1"/>
  <c r="H31" i="2"/>
  <c r="C32" i="2" s="1"/>
  <c r="N34" i="1" l="1"/>
  <c r="N35" i="1" s="1"/>
</calcChain>
</file>

<file path=xl/sharedStrings.xml><?xml version="1.0" encoding="utf-8"?>
<sst xmlns="http://schemas.openxmlformats.org/spreadsheetml/2006/main" count="184" uniqueCount="98">
  <si>
    <t>INVOICE</t>
  </si>
  <si>
    <t>Exporter</t>
  </si>
  <si>
    <t>Invoice No.&amp; Date</t>
  </si>
  <si>
    <t>Exporter's Ref.</t>
  </si>
  <si>
    <t>RIKKI PLASTIC PVT LIMITED</t>
  </si>
  <si>
    <t>27E3100070, Dt 10/08/2026</t>
  </si>
  <si>
    <t>0506010384</t>
  </si>
  <si>
    <t>50 KM MILESTONE MATHURA ROAD HIGHWAY</t>
  </si>
  <si>
    <t>VILLAGE PRITHLA PALWAL,HARYANA</t>
  </si>
  <si>
    <t>GSTN NO</t>
  </si>
  <si>
    <t>HSN CODE</t>
  </si>
  <si>
    <t>INDIA-121102</t>
  </si>
  <si>
    <t>06AACCR9549J1ZW</t>
  </si>
  <si>
    <t>Deliver To</t>
  </si>
  <si>
    <t>Invoice To</t>
  </si>
  <si>
    <t>EU-MATIC</t>
  </si>
  <si>
    <t xml:space="preserve">(A DIVISION OF MULTIMATIC LTD) HERALD AVE  </t>
  </si>
  <si>
    <t xml:space="preserve"> COVENTRY BUSINESS PARK WEST MIDLANDS  </t>
  </si>
  <si>
    <t>United Kingdom CV5 6UB</t>
  </si>
  <si>
    <t>CON:-ADAM NORRIS  +44 2476 673 333</t>
  </si>
  <si>
    <t>Pre carrige by Road,                 SEA</t>
  </si>
  <si>
    <t>Place of receipt by pre - carrier</t>
  </si>
  <si>
    <r>
      <t xml:space="preserve">Country of Origin of Goods - </t>
    </r>
    <r>
      <rPr>
        <b/>
        <sz val="11"/>
        <color theme="1"/>
        <rFont val="Calibri"/>
        <family val="2"/>
        <scheme val="minor"/>
      </rPr>
      <t>INDIA</t>
    </r>
  </si>
  <si>
    <r>
      <t xml:space="preserve">Vessel.Flight No.
</t>
    </r>
    <r>
      <rPr>
        <b/>
        <sz val="11"/>
        <color theme="1"/>
        <rFont val="Calibri"/>
        <family val="2"/>
        <scheme val="minor"/>
      </rPr>
      <t>BY SEA</t>
    </r>
  </si>
  <si>
    <t>Port of Lading 
ICD DADRI</t>
  </si>
  <si>
    <t>Country of Final Destination 
UNITED KINGDOM</t>
  </si>
  <si>
    <t xml:space="preserve">Port of Discharge                             FELIXSTOWE </t>
  </si>
  <si>
    <t>Final Destination -
 U K</t>
  </si>
  <si>
    <t>Term &amp; Delivery Of Payment :-DAP</t>
  </si>
  <si>
    <t>State of Origin
06</t>
  </si>
  <si>
    <t>District of Origin of Goods
60</t>
  </si>
  <si>
    <r>
      <t xml:space="preserve">Preferential Aggreement 
</t>
    </r>
    <r>
      <rPr>
        <b/>
        <sz val="11"/>
        <color theme="1"/>
        <rFont val="Calibri"/>
        <family val="2"/>
        <scheme val="minor"/>
      </rPr>
      <t>GSTP</t>
    </r>
  </si>
  <si>
    <t>Marks &amp; No./ Container No.</t>
  </si>
  <si>
    <t>No. &amp; Kind Of Package  (MM)</t>
  </si>
  <si>
    <t>Qty. Per Package</t>
  </si>
  <si>
    <t>Description of Goods</t>
  </si>
  <si>
    <t>Qty.</t>
  </si>
  <si>
    <t>Price</t>
  </si>
  <si>
    <t>PO Number</t>
  </si>
  <si>
    <t>Part Name</t>
  </si>
  <si>
    <t>Part No.</t>
  </si>
  <si>
    <t>Part Price</t>
  </si>
  <si>
    <t>Total(USD)</t>
  </si>
  <si>
    <t>01 -07 PALLET (336 Boxes)                                                              (1160 X 990 X 890) MM</t>
  </si>
  <si>
    <t>100 PCS</t>
  </si>
  <si>
    <t xml:space="preserve"> COVER PLATE 60 MM</t>
  </si>
  <si>
    <t>S4105120</t>
  </si>
  <si>
    <t xml:space="preserve">08-09 PALLET (192 Boxes)            (1110 X 1110 X 1120) MM </t>
  </si>
  <si>
    <t>70 Pcs</t>
  </si>
  <si>
    <t>BR540 FRONT OVERMOULD INSERT &amp; BUMPER</t>
  </si>
  <si>
    <t>S4100440</t>
  </si>
  <si>
    <t xml:space="preserve">10-10 PALLET (96 Boxes)            (1110 X 1110 X 1060) MM </t>
  </si>
  <si>
    <t xml:space="preserve"> RR OVERMOULD INSERT &amp; BUMPER</t>
  </si>
  <si>
    <t>S4100340</t>
  </si>
  <si>
    <t xml:space="preserve">11-11 PALLET (96 Boxes)                                                                                                 (1110 X 1110 X 1120) MM </t>
  </si>
  <si>
    <t>70 PCS</t>
  </si>
  <si>
    <t>2001104</t>
  </si>
  <si>
    <t>FRT OVERMOULD INSERT &amp; BUMPER</t>
  </si>
  <si>
    <t>S4300040</t>
  </si>
  <si>
    <t xml:space="preserve">12-12 PALLET (96 Boxes)                                                                                                  (1110 X 1110 X 1120) MM </t>
  </si>
  <si>
    <t>C590 FRT ARM + BUMPER</t>
  </si>
  <si>
    <t>S4200040</t>
  </si>
  <si>
    <t>01-01 (01 Box)                                                           (450 X 335 X 195) MM</t>
  </si>
  <si>
    <t>50000 Pcs</t>
  </si>
  <si>
    <t>SHEAR PIN</t>
  </si>
  <si>
    <t>P6621550</t>
  </si>
  <si>
    <t>Insured by "TATA CAPITAL"</t>
  </si>
  <si>
    <t>AGAINST ADVANCE LICENSE NO- 0511038481 DT: 05/03/2026</t>
  </si>
  <si>
    <t>Insurance Calcuation</t>
  </si>
  <si>
    <t>Automobile Parts</t>
  </si>
  <si>
    <t>LUT No:-AD0603260247058</t>
  </si>
  <si>
    <t>Price USD</t>
  </si>
  <si>
    <t>THIRTY EIGHT THOUSAND THIRTY SEVEN AND PENCE SIXTY THREE ONLY</t>
  </si>
  <si>
    <t>Total USD</t>
  </si>
  <si>
    <t>STATEMENT ON ORIGIN</t>
  </si>
  <si>
    <t xml:space="preserve">"The exporter of the products covered by this document (customs identification No. 0506010384 )declares that, except where otherwise clearly </t>
  </si>
  <si>
    <t>indicated these products are of India. preferential origin in accordance with the rules of origin of the Developing Countries Trader</t>
  </si>
  <si>
    <t xml:space="preserve"> Scheme (DCTS) of the UK and that the origin criterion met is P or W( 3 ). “ </t>
  </si>
  <si>
    <t>For  Rikki Plastic Pvt Limited</t>
  </si>
  <si>
    <t>Freight Calcuation</t>
  </si>
  <si>
    <t>Declaration :</t>
  </si>
  <si>
    <t>We declare that this invoice shows the actual price of the goods</t>
  </si>
  <si>
    <t>described and that all particulars are true &amp; correct.</t>
  </si>
  <si>
    <t>(Authorised Signatory)</t>
  </si>
  <si>
    <t>PACKING LIST</t>
  </si>
  <si>
    <t>Weight In Kg.</t>
  </si>
  <si>
    <t>Net Wt.    (Kg.)</t>
  </si>
  <si>
    <t>Gross Wt.            (Kg.)</t>
  </si>
  <si>
    <t xml:space="preserve">TOTAL NET WEIGHT </t>
  </si>
  <si>
    <t>Kg's</t>
  </si>
  <si>
    <t>For Rikki Plastic Pvt Limited</t>
  </si>
  <si>
    <t xml:space="preserve">TOTAL GROSS WEIGHT </t>
  </si>
  <si>
    <t>TOTAL BOX</t>
  </si>
  <si>
    <t>01</t>
  </si>
  <si>
    <t>TOTAL PLT</t>
  </si>
  <si>
    <t>12</t>
  </si>
  <si>
    <t>TOTAL PKG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</si>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</sst>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£-809]* #,##0.00_-;\-[$£-809]* #,##0.00_-;_-[$£-809]* &quot;-&quot;??_-;_-@_-"/>
    <numFmt numFmtId="165" formatCode="0.0000"/>
    <numFmt numFmtId="166" formatCode="0.00000"/>
    <numFmt numFmtId="167" formatCode="_-[$£-809]* #,##0.0000_-;\-[$£-809]* #,##0.0000_-;_-[$£-809]* &quot;-&quot;??_-;_-@_-"/>
    <numFmt numFmtId="168" formatCode="_-[$£-809]* #,##0.000_-;\-[$£-809]* #,##0.000_-;_-[$£-809]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164" fontId="4" fillId="0" borderId="0" applyNumberFormat="0" applyFill="0" applyBorder="0" applyAlignment="0" applyProtection="0">
      <alignment vertical="top"/>
      <protection locked="0"/>
    </xf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</cellStyleXfs>
  <cellXfs count="266">
    <xf numFmtId="0" fontId="0" fillId="0" borderId="0" xfId="0"/>
    <xf numFmtId="164" fontId="0" fillId="0" borderId="0" xfId="2" applyFont="1"/>
    <xf numFmtId="164" fontId="4" fillId="0" borderId="0" xfId="3" applyNumberFormat="1" applyAlignment="1" applyProtection="1">
      <alignment horizontal="center"/>
    </xf>
    <xf numFmtId="0" fontId="0" fillId="0" borderId="8" xfId="2" applyNumberFormat="1" applyFont="1" applyBorder="1" applyAlignment="1">
      <alignment horizontal="center"/>
    </xf>
    <xf numFmtId="0" fontId="2" fillId="0" borderId="14" xfId="2" quotePrefix="1" applyNumberFormat="1" applyFont="1" applyBorder="1" applyAlignment="1">
      <alignment horizontal="center"/>
    </xf>
    <xf numFmtId="0" fontId="2" fillId="0" borderId="16" xfId="2" applyNumberFormat="1" applyFont="1" applyBorder="1" applyAlignment="1">
      <alignment horizontal="center"/>
    </xf>
    <xf numFmtId="0" fontId="2" fillId="0" borderId="17" xfId="2" applyNumberFormat="1" applyFont="1" applyBorder="1" applyAlignment="1">
      <alignment horizontal="center"/>
    </xf>
    <xf numFmtId="0" fontId="0" fillId="0" borderId="18" xfId="2" applyNumberFormat="1" applyFont="1" applyBorder="1" applyAlignment="1">
      <alignment horizontal="center" vertical="top" wrapText="1"/>
    </xf>
    <xf numFmtId="0" fontId="0" fillId="0" borderId="11" xfId="2" applyNumberFormat="1" applyFont="1" applyBorder="1" applyAlignment="1">
      <alignment vertical="top" wrapText="1"/>
    </xf>
    <xf numFmtId="0" fontId="0" fillId="0" borderId="12" xfId="2" applyNumberFormat="1" applyFont="1" applyBorder="1" applyAlignment="1">
      <alignment vertical="top" wrapText="1"/>
    </xf>
    <xf numFmtId="0" fontId="0" fillId="0" borderId="20" xfId="2" applyNumberFormat="1" applyFont="1" applyBorder="1" applyAlignment="1">
      <alignment vertical="top" wrapText="1"/>
    </xf>
    <xf numFmtId="0" fontId="2" fillId="0" borderId="0" xfId="2" applyNumberFormat="1" applyFont="1" applyAlignment="1">
      <alignment vertical="top" wrapText="1"/>
    </xf>
    <xf numFmtId="0" fontId="0" fillId="0" borderId="0" xfId="2" applyNumberFormat="1" applyFont="1" applyAlignment="1">
      <alignment horizontal="left"/>
    </xf>
    <xf numFmtId="0" fontId="0" fillId="0" borderId="10" xfId="2" applyNumberFormat="1" applyFont="1" applyBorder="1" applyAlignment="1">
      <alignment horizontal="left"/>
    </xf>
    <xf numFmtId="0" fontId="0" fillId="0" borderId="18" xfId="2" applyNumberFormat="1" applyFont="1" applyBorder="1" applyAlignment="1">
      <alignment horizontal="left"/>
    </xf>
    <xf numFmtId="164" fontId="0" fillId="0" borderId="0" xfId="2" applyFont="1" applyAlignment="1">
      <alignment vertical="top"/>
    </xf>
    <xf numFmtId="164" fontId="0" fillId="0" borderId="0" xfId="2" applyFont="1" applyAlignment="1">
      <alignment vertical="top" wrapText="1"/>
    </xf>
    <xf numFmtId="164" fontId="3" fillId="0" borderId="16" xfId="2" applyFont="1" applyBorder="1" applyAlignment="1">
      <alignment horizontal="center" vertical="center" wrapText="1"/>
    </xf>
    <xf numFmtId="164" fontId="3" fillId="0" borderId="28" xfId="2" applyFont="1" applyBorder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164" fontId="6" fillId="0" borderId="9" xfId="7" applyFont="1" applyBorder="1" applyAlignment="1">
      <alignment horizontal="center" vertical="center" wrapText="1"/>
    </xf>
    <xf numFmtId="164" fontId="6" fillId="0" borderId="0" xfId="7" applyFont="1" applyAlignment="1">
      <alignment horizontal="center" vertical="center" wrapText="1"/>
    </xf>
    <xf numFmtId="0" fontId="0" fillId="0" borderId="0" xfId="2" applyNumberFormat="1" applyFont="1" applyAlignment="1">
      <alignment horizontal="center" vertical="center"/>
    </xf>
    <xf numFmtId="0" fontId="0" fillId="0" borderId="29" xfId="2" applyNumberFormat="1" applyFont="1" applyBorder="1" applyAlignment="1">
      <alignment horizontal="center" vertical="center"/>
    </xf>
    <xf numFmtId="165" fontId="0" fillId="0" borderId="23" xfId="2" applyNumberFormat="1" applyFont="1" applyBorder="1" applyAlignment="1">
      <alignment horizontal="right" vertical="center"/>
    </xf>
    <xf numFmtId="2" fontId="0" fillId="0" borderId="30" xfId="2" applyNumberFormat="1" applyFont="1" applyBorder="1" applyAlignment="1">
      <alignment horizontal="right" vertical="center"/>
    </xf>
    <xf numFmtId="0" fontId="0" fillId="0" borderId="0" xfId="7" quotePrefix="1" applyNumberFormat="1" applyFont="1" applyAlignment="1">
      <alignment horizontal="center" vertical="center" wrapText="1"/>
    </xf>
    <xf numFmtId="0" fontId="1" fillId="0" borderId="29" xfId="6" quotePrefix="1" applyNumberFormat="1" applyBorder="1" applyAlignment="1">
      <alignment horizontal="center" vertical="center"/>
    </xf>
    <xf numFmtId="165" fontId="1" fillId="0" borderId="29" xfId="8" applyNumberFormat="1" applyBorder="1" applyAlignment="1">
      <alignment vertical="center" wrapText="1"/>
    </xf>
    <xf numFmtId="2" fontId="1" fillId="0" borderId="30" xfId="8" applyNumberFormat="1" applyBorder="1" applyAlignment="1">
      <alignment vertical="center" wrapText="1"/>
    </xf>
    <xf numFmtId="164" fontId="0" fillId="0" borderId="0" xfId="5" applyFont="1"/>
    <xf numFmtId="0" fontId="0" fillId="0" borderId="0" xfId="6" quotePrefix="1" applyNumberFormat="1" applyFont="1" applyAlignment="1">
      <alignment horizontal="center" vertical="center" wrapText="1"/>
    </xf>
    <xf numFmtId="164" fontId="6" fillId="0" borderId="0" xfId="6" applyFont="1" applyAlignment="1">
      <alignment horizontal="center" vertical="center" wrapText="1"/>
    </xf>
    <xf numFmtId="164" fontId="0" fillId="0" borderId="0" xfId="9" quotePrefix="1" applyFont="1" applyAlignment="1">
      <alignment horizontal="center" vertical="center" wrapText="1"/>
    </xf>
    <xf numFmtId="164" fontId="6" fillId="0" borderId="0" xfId="9" applyFont="1" applyAlignment="1">
      <alignment horizontal="center" vertical="center" wrapText="1"/>
    </xf>
    <xf numFmtId="164" fontId="6" fillId="0" borderId="0" xfId="7" quotePrefix="1" applyFont="1" applyAlignment="1">
      <alignment horizontal="center" vertical="center" wrapText="1"/>
    </xf>
    <xf numFmtId="0" fontId="1" fillId="0" borderId="29" xfId="9" quotePrefix="1" applyNumberFormat="1" applyBorder="1" applyAlignment="1">
      <alignment horizontal="center" vertical="center"/>
    </xf>
    <xf numFmtId="166" fontId="0" fillId="0" borderId="23" xfId="2" applyNumberFormat="1" applyFont="1" applyBorder="1" applyAlignment="1">
      <alignment horizontal="right" vertical="center"/>
    </xf>
    <xf numFmtId="165" fontId="1" fillId="0" borderId="23" xfId="8" applyNumberFormat="1" applyBorder="1" applyAlignment="1">
      <alignment vertical="center" wrapText="1"/>
    </xf>
    <xf numFmtId="164" fontId="0" fillId="0" borderId="9" xfId="2" applyFont="1" applyBorder="1" applyAlignment="1">
      <alignment horizontal="center" vertical="center" wrapText="1"/>
    </xf>
    <xf numFmtId="164" fontId="0" fillId="0" borderId="9" xfId="2" applyFont="1" applyBorder="1" applyAlignment="1">
      <alignment vertical="center"/>
    </xf>
    <xf numFmtId="164" fontId="1" fillId="0" borderId="0" xfId="8" applyAlignment="1">
      <alignment vertical="center" wrapText="1"/>
    </xf>
    <xf numFmtId="164" fontId="0" fillId="0" borderId="10" xfId="2" quotePrefix="1" applyFont="1" applyBorder="1" applyAlignment="1">
      <alignment horizontal="center" vertical="center"/>
    </xf>
    <xf numFmtId="2" fontId="0" fillId="0" borderId="23" xfId="2" applyNumberFormat="1" applyFont="1" applyBorder="1" applyAlignment="1">
      <alignment horizontal="right" vertical="center"/>
    </xf>
    <xf numFmtId="0" fontId="0" fillId="0" borderId="9" xfId="2" applyNumberFormat="1" applyFont="1" applyBorder="1" applyAlignment="1">
      <alignment horizontal="center" vertical="center"/>
    </xf>
    <xf numFmtId="167" fontId="0" fillId="0" borderId="0" xfId="5" applyNumberFormat="1" applyFont="1" applyAlignment="1">
      <alignment horizontal="center"/>
    </xf>
    <xf numFmtId="164" fontId="0" fillId="0" borderId="9" xfId="2" applyFont="1" applyBorder="1" applyAlignment="1">
      <alignment vertical="center" wrapText="1"/>
    </xf>
    <xf numFmtId="164" fontId="0" fillId="0" borderId="0" xfId="6" applyFont="1" applyAlignment="1">
      <alignment horizontal="center"/>
    </xf>
    <xf numFmtId="164" fontId="0" fillId="0" borderId="0" xfId="2" applyFont="1" applyAlignment="1">
      <alignment vertical="center" wrapText="1"/>
    </xf>
    <xf numFmtId="164" fontId="0" fillId="0" borderId="10" xfId="2" applyFont="1" applyBorder="1" applyAlignment="1">
      <alignment horizontal="center"/>
    </xf>
    <xf numFmtId="164" fontId="0" fillId="0" borderId="29" xfId="2" applyFont="1" applyBorder="1" applyAlignment="1">
      <alignment horizontal="center"/>
    </xf>
    <xf numFmtId="164" fontId="0" fillId="0" borderId="29" xfId="2" applyFont="1" applyBorder="1" applyAlignment="1">
      <alignment horizontal="right"/>
    </xf>
    <xf numFmtId="2" fontId="0" fillId="0" borderId="30" xfId="2" applyNumberFormat="1" applyFont="1" applyBorder="1" applyAlignment="1">
      <alignment horizontal="right" vertical="center" wrapText="1"/>
    </xf>
    <xf numFmtId="164" fontId="0" fillId="0" borderId="9" xfId="2" applyFont="1" applyBorder="1"/>
    <xf numFmtId="164" fontId="0" fillId="0" borderId="10" xfId="2" applyFont="1" applyBorder="1"/>
    <xf numFmtId="164" fontId="0" fillId="0" borderId="29" xfId="2" applyFont="1" applyBorder="1"/>
    <xf numFmtId="164" fontId="0" fillId="0" borderId="30" xfId="2" applyFont="1" applyBorder="1"/>
    <xf numFmtId="2" fontId="0" fillId="0" borderId="0" xfId="5" applyNumberFormat="1" applyFont="1" applyAlignment="1">
      <alignment vertical="center"/>
    </xf>
    <xf numFmtId="164" fontId="0" fillId="0" borderId="0" xfId="5" applyFont="1" applyAlignment="1">
      <alignment vertical="center"/>
    </xf>
    <xf numFmtId="164" fontId="0" fillId="0" borderId="19" xfId="2" applyFont="1" applyBorder="1"/>
    <xf numFmtId="164" fontId="2" fillId="0" borderId="12" xfId="2" applyFont="1" applyBorder="1"/>
    <xf numFmtId="164" fontId="0" fillId="0" borderId="12" xfId="2" applyFont="1" applyBorder="1"/>
    <xf numFmtId="164" fontId="0" fillId="0" borderId="13" xfId="2" applyFont="1" applyBorder="1"/>
    <xf numFmtId="164" fontId="2" fillId="0" borderId="16" xfId="2" applyFont="1" applyBorder="1" applyAlignment="1">
      <alignment horizontal="center"/>
    </xf>
    <xf numFmtId="2" fontId="2" fillId="0" borderId="28" xfId="2" applyNumberFormat="1" applyFont="1" applyBorder="1"/>
    <xf numFmtId="164" fontId="7" fillId="0" borderId="4" xfId="2" applyFont="1" applyBorder="1"/>
    <xf numFmtId="0" fontId="8" fillId="0" borderId="5" xfId="2" applyNumberFormat="1" applyFont="1" applyBorder="1" applyAlignment="1">
      <alignment horizontal="left"/>
    </xf>
    <xf numFmtId="0" fontId="0" fillId="0" borderId="5" xfId="2" applyNumberFormat="1" applyFont="1" applyBorder="1"/>
    <xf numFmtId="0" fontId="2" fillId="0" borderId="5" xfId="2" applyNumberFormat="1" applyFont="1" applyBorder="1" applyAlignment="1">
      <alignment horizontal="center"/>
    </xf>
    <xf numFmtId="2" fontId="2" fillId="0" borderId="15" xfId="2" applyNumberFormat="1" applyFont="1" applyBorder="1" applyAlignment="1">
      <alignment horizontal="right" vertical="center" wrapText="1"/>
    </xf>
    <xf numFmtId="164" fontId="9" fillId="0" borderId="9" xfId="2" applyFont="1" applyBorder="1" applyAlignment="1">
      <alignment horizontal="left" vertical="top"/>
    </xf>
    <xf numFmtId="164" fontId="9" fillId="0" borderId="0" xfId="2" applyFont="1" applyAlignment="1">
      <alignment vertical="top" wrapText="1"/>
    </xf>
    <xf numFmtId="0" fontId="10" fillId="0" borderId="0" xfId="2" applyNumberFormat="1" applyFont="1"/>
    <xf numFmtId="0" fontId="10" fillId="0" borderId="18" xfId="2" applyNumberFormat="1" applyFont="1" applyBorder="1"/>
    <xf numFmtId="0" fontId="10" fillId="0" borderId="0" xfId="2" applyNumberFormat="1" applyFont="1" applyAlignment="1">
      <alignment horizontal="left"/>
    </xf>
    <xf numFmtId="0" fontId="10" fillId="0" borderId="18" xfId="2" applyNumberFormat="1" applyFont="1" applyBorder="1" applyAlignment="1">
      <alignment horizontal="left"/>
    </xf>
    <xf numFmtId="167" fontId="0" fillId="0" borderId="0" xfId="5" applyNumberFormat="1" applyFont="1"/>
    <xf numFmtId="0" fontId="0" fillId="0" borderId="9" xfId="2" quotePrefix="1" applyNumberFormat="1" applyFont="1" applyBorder="1" applyAlignment="1">
      <alignment horizontal="left"/>
    </xf>
    <xf numFmtId="0" fontId="0" fillId="0" borderId="0" xfId="2" applyNumberFormat="1" applyFont="1"/>
    <xf numFmtId="0" fontId="2" fillId="0" borderId="18" xfId="2" applyNumberFormat="1" applyFont="1" applyBorder="1" applyAlignment="1">
      <alignment vertical="top" wrapText="1"/>
    </xf>
    <xf numFmtId="0" fontId="0" fillId="0" borderId="9" xfId="2" applyNumberFormat="1" applyFont="1" applyBorder="1" applyAlignment="1">
      <alignment vertical="center"/>
    </xf>
    <xf numFmtId="0" fontId="0" fillId="0" borderId="31" xfId="2" applyNumberFormat="1" applyFont="1" applyBorder="1" applyAlignment="1">
      <alignment vertical="center"/>
    </xf>
    <xf numFmtId="0" fontId="0" fillId="0" borderId="32" xfId="2" applyNumberFormat="1" applyFont="1" applyBorder="1"/>
    <xf numFmtId="0" fontId="0" fillId="0" borderId="32" xfId="2" applyNumberFormat="1" applyFont="1" applyBorder="1" applyAlignment="1">
      <alignment horizontal="center" vertical="center"/>
    </xf>
    <xf numFmtId="0" fontId="2" fillId="0" borderId="32" xfId="2" applyNumberFormat="1" applyFont="1" applyBorder="1" applyAlignment="1">
      <alignment vertical="top" wrapText="1"/>
    </xf>
    <xf numFmtId="164" fontId="0" fillId="0" borderId="0" xfId="6" applyFont="1"/>
    <xf numFmtId="0" fontId="0" fillId="0" borderId="8" xfId="6" applyNumberFormat="1" applyFont="1" applyBorder="1" applyAlignment="1">
      <alignment horizontal="center"/>
    </xf>
    <xf numFmtId="0" fontId="2" fillId="0" borderId="14" xfId="6" quotePrefix="1" applyNumberFormat="1" applyFont="1" applyBorder="1" applyAlignment="1">
      <alignment horizontal="center"/>
    </xf>
    <xf numFmtId="0" fontId="2" fillId="0" borderId="17" xfId="6" applyNumberFormat="1" applyFont="1" applyBorder="1" applyAlignment="1">
      <alignment horizontal="center"/>
    </xf>
    <xf numFmtId="0" fontId="0" fillId="0" borderId="18" xfId="6" applyNumberFormat="1" applyFont="1" applyBorder="1" applyAlignment="1">
      <alignment horizontal="center" vertical="top" wrapText="1"/>
    </xf>
    <xf numFmtId="0" fontId="0" fillId="0" borderId="11" xfId="6" applyNumberFormat="1" applyFont="1" applyBorder="1" applyAlignment="1">
      <alignment vertical="top" wrapText="1"/>
    </xf>
    <xf numFmtId="0" fontId="0" fillId="0" borderId="12" xfId="6" applyNumberFormat="1" applyFont="1" applyBorder="1" applyAlignment="1">
      <alignment vertical="top" wrapText="1"/>
    </xf>
    <xf numFmtId="0" fontId="0" fillId="0" borderId="20" xfId="6" applyNumberFormat="1" applyFont="1" applyBorder="1" applyAlignment="1">
      <alignment vertical="top" wrapText="1"/>
    </xf>
    <xf numFmtId="164" fontId="0" fillId="0" borderId="0" xfId="6" applyFont="1" applyAlignment="1">
      <alignment vertical="top" wrapText="1"/>
    </xf>
    <xf numFmtId="164" fontId="0" fillId="0" borderId="0" xfId="6" applyFont="1" applyAlignment="1">
      <alignment vertical="top"/>
    </xf>
    <xf numFmtId="9" fontId="0" fillId="0" borderId="0" xfId="1" applyFont="1" applyAlignment="1">
      <alignment vertical="top"/>
    </xf>
    <xf numFmtId="164" fontId="0" fillId="0" borderId="0" xfId="2" applyFont="1" applyAlignment="1">
      <alignment vertical="center"/>
    </xf>
    <xf numFmtId="164" fontId="3" fillId="0" borderId="16" xfId="6" applyFont="1" applyBorder="1" applyAlignment="1">
      <alignment horizontal="center" vertical="center" wrapText="1"/>
    </xf>
    <xf numFmtId="0" fontId="0" fillId="0" borderId="0" xfId="6" applyNumberFormat="1" applyFont="1" applyAlignment="1">
      <alignment vertical="top"/>
    </xf>
    <xf numFmtId="164" fontId="3" fillId="0" borderId="28" xfId="6" applyFont="1" applyBorder="1" applyAlignment="1">
      <alignment horizontal="center" vertical="center" wrapText="1"/>
    </xf>
    <xf numFmtId="164" fontId="0" fillId="0" borderId="0" xfId="6" applyFont="1" applyAlignment="1">
      <alignment horizontal="center" vertical="center" wrapText="1"/>
    </xf>
    <xf numFmtId="0" fontId="0" fillId="0" borderId="0" xfId="6" applyNumberFormat="1" applyFont="1" applyAlignment="1">
      <alignment horizontal="center" vertical="center" wrapText="1"/>
    </xf>
    <xf numFmtId="2" fontId="0" fillId="0" borderId="29" xfId="6" applyNumberFormat="1" applyFont="1" applyBorder="1" applyAlignment="1">
      <alignment horizontal="center" vertical="center" wrapText="1"/>
    </xf>
    <xf numFmtId="2" fontId="0" fillId="0" borderId="30" xfId="6" applyNumberFormat="1" applyFont="1" applyBorder="1" applyAlignment="1">
      <alignment horizontal="center" vertical="center" wrapText="1"/>
    </xf>
    <xf numFmtId="2" fontId="0" fillId="0" borderId="0" xfId="6" applyNumberFormat="1" applyFont="1" applyAlignment="1">
      <alignment horizontal="left" vertical="center" wrapText="1"/>
    </xf>
    <xf numFmtId="164" fontId="0" fillId="0" borderId="0" xfId="6" applyFont="1" applyAlignment="1">
      <alignment vertical="center" wrapText="1"/>
    </xf>
    <xf numFmtId="2" fontId="0" fillId="0" borderId="0" xfId="6" applyNumberFormat="1" applyFont="1" applyAlignment="1">
      <alignment horizontal="right" vertical="center" wrapText="1"/>
    </xf>
    <xf numFmtId="164" fontId="2" fillId="0" borderId="0" xfId="6" applyFont="1" applyAlignment="1">
      <alignment vertical="center" wrapText="1"/>
    </xf>
    <xf numFmtId="2" fontId="1" fillId="0" borderId="29" xfId="7" applyNumberFormat="1" applyBorder="1" applyAlignment="1">
      <alignment horizontal="center" vertical="center" wrapText="1"/>
    </xf>
    <xf numFmtId="2" fontId="1" fillId="0" borderId="18" xfId="7" applyNumberFormat="1" applyBorder="1" applyAlignment="1">
      <alignment horizontal="center" vertical="center" wrapText="1"/>
    </xf>
    <xf numFmtId="0" fontId="1" fillId="0" borderId="0" xfId="7" applyNumberFormat="1" applyAlignment="1">
      <alignment horizontal="left" vertical="center"/>
    </xf>
    <xf numFmtId="164" fontId="1" fillId="0" borderId="0" xfId="7"/>
    <xf numFmtId="2" fontId="1" fillId="0" borderId="30" xfId="7" applyNumberFormat="1" applyBorder="1" applyAlignment="1">
      <alignment horizontal="center" vertical="center" wrapText="1"/>
    </xf>
    <xf numFmtId="168" fontId="0" fillId="0" borderId="0" xfId="6" applyNumberFormat="1" applyFont="1" applyAlignment="1">
      <alignment vertical="center" wrapText="1"/>
    </xf>
    <xf numFmtId="2" fontId="0" fillId="0" borderId="23" xfId="6" applyNumberFormat="1" applyFont="1" applyBorder="1" applyAlignment="1">
      <alignment horizontal="center" vertical="center" wrapText="1"/>
    </xf>
    <xf numFmtId="2" fontId="0" fillId="0" borderId="0" xfId="6" applyNumberFormat="1" applyFont="1" applyAlignment="1">
      <alignment horizontal="center" vertical="center" wrapText="1"/>
    </xf>
    <xf numFmtId="164" fontId="0" fillId="0" borderId="0" xfId="6" applyFont="1" applyAlignment="1">
      <alignment horizontal="left" vertical="center" wrapText="1"/>
    </xf>
    <xf numFmtId="164" fontId="0" fillId="0" borderId="9" xfId="6" applyFont="1" applyBorder="1" applyAlignment="1">
      <alignment horizontal="left" vertical="center" wrapText="1"/>
    </xf>
    <xf numFmtId="0" fontId="0" fillId="0" borderId="0" xfId="6" applyNumberFormat="1" applyFont="1"/>
    <xf numFmtId="164" fontId="0" fillId="0" borderId="10" xfId="6" applyFont="1" applyBorder="1" applyAlignment="1">
      <alignment horizontal="center"/>
    </xf>
    <xf numFmtId="164" fontId="0" fillId="0" borderId="29" xfId="6" applyFont="1" applyBorder="1" applyAlignment="1">
      <alignment horizontal="center" vertical="center"/>
    </xf>
    <xf numFmtId="2" fontId="0" fillId="0" borderId="18" xfId="6" applyNumberFormat="1" applyFont="1" applyBorder="1" applyAlignment="1">
      <alignment horizontal="center" vertical="center" wrapText="1"/>
    </xf>
    <xf numFmtId="164" fontId="0" fillId="0" borderId="10" xfId="6" applyFont="1" applyBorder="1" applyAlignment="1">
      <alignment horizontal="center" vertical="center" wrapText="1"/>
    </xf>
    <xf numFmtId="164" fontId="0" fillId="0" borderId="18" xfId="6" applyFont="1" applyBorder="1" applyAlignment="1">
      <alignment horizontal="center"/>
    </xf>
    <xf numFmtId="164" fontId="0" fillId="0" borderId="19" xfId="6" applyFont="1" applyBorder="1"/>
    <xf numFmtId="164" fontId="0" fillId="0" borderId="12" xfId="6" applyFont="1" applyBorder="1"/>
    <xf numFmtId="164" fontId="0" fillId="0" borderId="13" xfId="6" applyFont="1" applyBorder="1"/>
    <xf numFmtId="0" fontId="2" fillId="0" borderId="34" xfId="6" applyNumberFormat="1" applyFont="1" applyBorder="1" applyAlignment="1">
      <alignment horizontal="center"/>
    </xf>
    <xf numFmtId="2" fontId="2" fillId="0" borderId="34" xfId="6" applyNumberFormat="1" applyFont="1" applyBorder="1" applyAlignment="1">
      <alignment horizontal="right"/>
    </xf>
    <xf numFmtId="2" fontId="2" fillId="0" borderId="14" xfId="6" applyNumberFormat="1" applyFont="1" applyBorder="1" applyAlignment="1">
      <alignment horizontal="right"/>
    </xf>
    <xf numFmtId="2" fontId="0" fillId="0" borderId="16" xfId="6" applyNumberFormat="1" applyFont="1" applyBorder="1" applyAlignment="1">
      <alignment horizontal="center" vertical="center"/>
    </xf>
    <xf numFmtId="164" fontId="0" fillId="0" borderId="16" xfId="6" applyFont="1" applyBorder="1" applyAlignment="1">
      <alignment horizontal="center" vertical="center"/>
    </xf>
    <xf numFmtId="164" fontId="0" fillId="0" borderId="34" xfId="6" applyFont="1" applyBorder="1"/>
    <xf numFmtId="164" fontId="2" fillId="0" borderId="7" xfId="6" applyFont="1" applyBorder="1" applyAlignment="1">
      <alignment vertical="top" wrapText="1"/>
    </xf>
    <xf numFmtId="164" fontId="0" fillId="0" borderId="34" xfId="6" applyFont="1" applyBorder="1" applyAlignment="1">
      <alignment horizontal="center" vertical="center"/>
    </xf>
    <xf numFmtId="164" fontId="0" fillId="0" borderId="16" xfId="6" applyFont="1" applyBorder="1"/>
    <xf numFmtId="164" fontId="2" fillId="0" borderId="23" xfId="6" applyFont="1" applyBorder="1" applyAlignment="1">
      <alignment vertical="top" wrapText="1"/>
    </xf>
    <xf numFmtId="164" fontId="11" fillId="0" borderId="0" xfId="6" applyFont="1"/>
    <xf numFmtId="164" fontId="0" fillId="0" borderId="18" xfId="6" applyFont="1" applyBorder="1"/>
    <xf numFmtId="164" fontId="2" fillId="0" borderId="16" xfId="6" quotePrefix="1" applyFont="1" applyBorder="1" applyAlignment="1">
      <alignment horizontal="center" vertical="center"/>
    </xf>
    <xf numFmtId="164" fontId="2" fillId="0" borderId="6" xfId="6" quotePrefix="1" applyFont="1" applyBorder="1" applyAlignment="1">
      <alignment horizontal="center" vertical="center"/>
    </xf>
    <xf numFmtId="164" fontId="0" fillId="0" borderId="22" xfId="6" applyFont="1" applyBorder="1" applyAlignment="1">
      <alignment horizontal="center" vertical="center"/>
    </xf>
    <xf numFmtId="164" fontId="0" fillId="0" borderId="22" xfId="6" applyFont="1" applyBorder="1"/>
    <xf numFmtId="164" fontId="2" fillId="0" borderId="37" xfId="6" quotePrefix="1" applyFont="1" applyBorder="1" applyAlignment="1">
      <alignment horizontal="center"/>
    </xf>
    <xf numFmtId="164" fontId="0" fillId="0" borderId="36" xfId="6" applyFont="1" applyBorder="1"/>
    <xf numFmtId="164" fontId="2" fillId="0" borderId="38" xfId="6" applyFont="1" applyBorder="1" applyAlignment="1">
      <alignment vertical="top" wrapText="1"/>
    </xf>
    <xf numFmtId="0" fontId="2" fillId="0" borderId="32" xfId="2" applyNumberFormat="1" applyFont="1" applyBorder="1" applyAlignment="1">
      <alignment horizontal="left"/>
    </xf>
    <xf numFmtId="0" fontId="2" fillId="0" borderId="33" xfId="2" applyNumberFormat="1" applyFont="1" applyBorder="1" applyAlignment="1">
      <alignment horizontal="left"/>
    </xf>
    <xf numFmtId="164" fontId="2" fillId="0" borderId="0" xfId="8" applyFont="1" applyAlignment="1">
      <alignment horizontal="center" vertical="center" wrapText="1"/>
    </xf>
    <xf numFmtId="167" fontId="0" fillId="0" borderId="0" xfId="5" applyNumberFormat="1" applyFont="1" applyAlignment="1">
      <alignment horizontal="center"/>
    </xf>
    <xf numFmtId="164" fontId="0" fillId="0" borderId="0" xfId="6" applyFont="1" applyAlignment="1">
      <alignment horizontal="center"/>
    </xf>
    <xf numFmtId="164" fontId="0" fillId="0" borderId="0" xfId="10" applyFont="1" applyAlignment="1">
      <alignment horizontal="left" vertical="center" wrapText="1"/>
    </xf>
    <xf numFmtId="0" fontId="10" fillId="0" borderId="0" xfId="2" applyNumberFormat="1" applyFont="1" applyAlignment="1">
      <alignment horizontal="left"/>
    </xf>
    <xf numFmtId="0" fontId="10" fillId="0" borderId="18" xfId="2" applyNumberFormat="1" applyFont="1" applyBorder="1" applyAlignment="1">
      <alignment horizontal="left"/>
    </xf>
    <xf numFmtId="164" fontId="6" fillId="0" borderId="9" xfId="7" applyFont="1" applyBorder="1" applyAlignment="1">
      <alignment horizontal="center" vertical="center" wrapText="1"/>
    </xf>
    <xf numFmtId="164" fontId="6" fillId="0" borderId="0" xfId="7" applyFont="1" applyAlignment="1">
      <alignment horizontal="center" vertical="center" wrapText="1"/>
    </xf>
    <xf numFmtId="164" fontId="0" fillId="0" borderId="24" xfId="2" applyFont="1" applyBorder="1" applyAlignment="1">
      <alignment horizontal="center" vertical="top" wrapText="1"/>
    </xf>
    <xf numFmtId="164" fontId="0" fillId="0" borderId="25" xfId="2" applyFont="1" applyBorder="1" applyAlignment="1">
      <alignment horizontal="center" vertical="top" wrapText="1"/>
    </xf>
    <xf numFmtId="164" fontId="0" fillId="0" borderId="16" xfId="2" applyFont="1" applyBorder="1" applyAlignment="1">
      <alignment horizontal="center" vertical="top" wrapText="1"/>
    </xf>
    <xf numFmtId="0" fontId="0" fillId="0" borderId="27" xfId="2" applyNumberFormat="1" applyFont="1" applyBorder="1" applyAlignment="1">
      <alignment horizontal="center" vertical="top" wrapText="1"/>
    </xf>
    <xf numFmtId="0" fontId="0" fillId="0" borderId="17" xfId="2" applyNumberFormat="1" applyFont="1" applyBorder="1" applyAlignment="1">
      <alignment horizontal="center" vertical="top" wrapText="1"/>
    </xf>
    <xf numFmtId="164" fontId="3" fillId="0" borderId="21" xfId="2" applyFont="1" applyBorder="1" applyAlignment="1">
      <alignment horizontal="center" vertical="center" wrapText="1"/>
    </xf>
    <xf numFmtId="164" fontId="3" fillId="0" borderId="16" xfId="2" applyFont="1" applyBorder="1" applyAlignment="1">
      <alignment horizontal="center" vertical="center" wrapText="1"/>
    </xf>
    <xf numFmtId="164" fontId="3" fillId="0" borderId="26" xfId="2" applyFont="1" applyBorder="1" applyAlignment="1">
      <alignment horizontal="center" vertical="center"/>
    </xf>
    <xf numFmtId="164" fontId="3" fillId="0" borderId="27" xfId="2" applyFont="1" applyBorder="1" applyAlignment="1">
      <alignment horizontal="center" vertical="center"/>
    </xf>
    <xf numFmtId="164" fontId="3" fillId="0" borderId="25" xfId="2" applyFont="1" applyBorder="1" applyAlignment="1">
      <alignment horizontal="center" vertical="center"/>
    </xf>
    <xf numFmtId="164" fontId="3" fillId="0" borderId="16" xfId="2" applyFont="1" applyBorder="1" applyAlignment="1">
      <alignment horizontal="center" vertical="center"/>
    </xf>
    <xf numFmtId="164" fontId="3" fillId="0" borderId="28" xfId="2" applyFont="1" applyBorder="1" applyAlignment="1">
      <alignment horizontal="center" vertical="center"/>
    </xf>
    <xf numFmtId="0" fontId="0" fillId="0" borderId="24" xfId="2" applyNumberFormat="1" applyFont="1" applyBorder="1" applyAlignment="1">
      <alignment horizontal="center" vertical="top" wrapText="1"/>
    </xf>
    <xf numFmtId="0" fontId="0" fillId="0" borderId="25" xfId="2" applyNumberFormat="1" applyFont="1" applyBorder="1" applyAlignment="1">
      <alignment horizontal="center" vertical="top" wrapText="1"/>
    </xf>
    <xf numFmtId="0" fontId="0" fillId="0" borderId="26" xfId="2" applyNumberFormat="1" applyFont="1" applyBorder="1" applyAlignment="1">
      <alignment horizontal="center" vertical="top" wrapText="1"/>
    </xf>
    <xf numFmtId="0" fontId="0" fillId="2" borderId="26" xfId="2" applyNumberFormat="1" applyFont="1" applyFill="1" applyBorder="1" applyAlignment="1">
      <alignment horizontal="center" vertical="top" wrapText="1"/>
    </xf>
    <xf numFmtId="0" fontId="0" fillId="2" borderId="27" xfId="2" applyNumberFormat="1" applyFont="1" applyFill="1" applyBorder="1" applyAlignment="1">
      <alignment horizontal="center" vertical="top" wrapText="1"/>
    </xf>
    <xf numFmtId="0" fontId="0" fillId="2" borderId="17" xfId="2" applyNumberFormat="1" applyFont="1" applyFill="1" applyBorder="1" applyAlignment="1">
      <alignment horizontal="center" vertical="top" wrapText="1"/>
    </xf>
    <xf numFmtId="164" fontId="2" fillId="0" borderId="24" xfId="6" applyFont="1" applyBorder="1" applyAlignment="1">
      <alignment horizontal="center" vertical="top" wrapText="1"/>
    </xf>
    <xf numFmtId="164" fontId="2" fillId="0" borderId="25" xfId="6" applyFont="1" applyBorder="1" applyAlignment="1">
      <alignment horizontal="center" vertical="top" wrapText="1"/>
    </xf>
    <xf numFmtId="0" fontId="0" fillId="0" borderId="9" xfId="2" applyNumberFormat="1" applyFont="1" applyBorder="1" applyAlignment="1">
      <alignment horizontal="left"/>
    </xf>
    <xf numFmtId="0" fontId="0" fillId="0" borderId="0" xfId="2" applyNumberFormat="1" applyFont="1" applyAlignment="1">
      <alignment horizontal="left"/>
    </xf>
    <xf numFmtId="0" fontId="0" fillId="0" borderId="19" xfId="2" applyNumberFormat="1" applyFont="1" applyBorder="1" applyAlignment="1">
      <alignment horizontal="left"/>
    </xf>
    <xf numFmtId="0" fontId="0" fillId="0" borderId="12" xfId="2" applyNumberFormat="1" applyFont="1" applyBorder="1" applyAlignment="1">
      <alignment horizontal="left"/>
    </xf>
    <xf numFmtId="0" fontId="0" fillId="0" borderId="13" xfId="2" applyNumberFormat="1" applyFont="1" applyBorder="1" applyAlignment="1">
      <alignment horizontal="left"/>
    </xf>
    <xf numFmtId="0" fontId="0" fillId="0" borderId="11" xfId="2" applyNumberFormat="1" applyFont="1" applyBorder="1" applyAlignment="1">
      <alignment horizontal="left"/>
    </xf>
    <xf numFmtId="0" fontId="0" fillId="0" borderId="20" xfId="2" applyNumberFormat="1" applyFont="1" applyBorder="1" applyAlignment="1">
      <alignment horizontal="left"/>
    </xf>
    <xf numFmtId="0" fontId="0" fillId="0" borderId="26" xfId="2" applyNumberFormat="1" applyFont="1" applyBorder="1" applyAlignment="1">
      <alignment horizontal="center" vertical="top"/>
    </xf>
    <xf numFmtId="0" fontId="0" fillId="0" borderId="27" xfId="2" applyNumberFormat="1" applyFont="1" applyBorder="1" applyAlignment="1">
      <alignment horizontal="center" vertical="top"/>
    </xf>
    <xf numFmtId="0" fontId="0" fillId="0" borderId="25" xfId="2" applyNumberFormat="1" applyFont="1" applyBorder="1" applyAlignment="1">
      <alignment horizontal="center" vertical="top"/>
    </xf>
    <xf numFmtId="0" fontId="0" fillId="0" borderId="17" xfId="2" applyNumberFormat="1" applyFont="1" applyBorder="1" applyAlignment="1">
      <alignment horizontal="center" vertical="top"/>
    </xf>
    <xf numFmtId="0" fontId="2" fillId="0" borderId="4" xfId="2" applyNumberFormat="1" applyFont="1" applyBorder="1" applyAlignment="1">
      <alignment horizontal="left"/>
    </xf>
    <xf numFmtId="0" fontId="2" fillId="0" borderId="5" xfId="2" applyNumberFormat="1" applyFont="1" applyBorder="1" applyAlignment="1">
      <alignment horizontal="left"/>
    </xf>
    <xf numFmtId="0" fontId="2" fillId="0" borderId="6" xfId="2" applyNumberFormat="1" applyFont="1" applyBorder="1" applyAlignment="1">
      <alignment horizontal="left"/>
    </xf>
    <xf numFmtId="0" fontId="3" fillId="2" borderId="7" xfId="2" applyNumberFormat="1" applyFont="1" applyFill="1" applyBorder="1" applyAlignment="1">
      <alignment horizontal="left"/>
    </xf>
    <xf numFmtId="0" fontId="3" fillId="2" borderId="5" xfId="2" applyNumberFormat="1" applyFont="1" applyFill="1" applyBorder="1" applyAlignment="1">
      <alignment horizontal="left"/>
    </xf>
    <xf numFmtId="0" fontId="3" fillId="2" borderId="15" xfId="2" applyNumberFormat="1" applyFont="1" applyFill="1" applyBorder="1" applyAlignment="1">
      <alignment horizontal="left"/>
    </xf>
    <xf numFmtId="0" fontId="5" fillId="0" borderId="9" xfId="2" applyNumberFormat="1" applyFont="1" applyBorder="1" applyAlignment="1">
      <alignment horizontal="left"/>
    </xf>
    <xf numFmtId="0" fontId="5" fillId="0" borderId="0" xfId="2" applyNumberFormat="1" applyFont="1" applyAlignment="1">
      <alignment horizontal="left"/>
    </xf>
    <xf numFmtId="0" fontId="5" fillId="0" borderId="10" xfId="2" applyNumberFormat="1" applyFont="1" applyBorder="1" applyAlignment="1">
      <alignment horizontal="left"/>
    </xf>
    <xf numFmtId="0" fontId="5" fillId="0" borderId="23" xfId="2" applyNumberFormat="1" applyFont="1" applyBorder="1" applyAlignment="1">
      <alignment horizontal="left"/>
    </xf>
    <xf numFmtId="0" fontId="5" fillId="0" borderId="18" xfId="2" applyNumberFormat="1" applyFont="1" applyBorder="1" applyAlignment="1">
      <alignment horizontal="left"/>
    </xf>
    <xf numFmtId="0" fontId="0" fillId="0" borderId="10" xfId="2" applyNumberFormat="1" applyFont="1" applyBorder="1" applyAlignment="1">
      <alignment horizontal="left"/>
    </xf>
    <xf numFmtId="0" fontId="0" fillId="0" borderId="23" xfId="2" applyNumberFormat="1" applyFont="1" applyBorder="1" applyAlignment="1">
      <alignment horizontal="left"/>
    </xf>
    <xf numFmtId="0" fontId="0" fillId="0" borderId="18" xfId="2" applyNumberFormat="1" applyFont="1" applyBorder="1" applyAlignment="1">
      <alignment horizontal="left"/>
    </xf>
    <xf numFmtId="0" fontId="0" fillId="0" borderId="9" xfId="5" applyNumberFormat="1" applyFont="1" applyBorder="1" applyAlignment="1">
      <alignment horizontal="left"/>
    </xf>
    <xf numFmtId="0" fontId="0" fillId="0" borderId="0" xfId="5" applyNumberFormat="1" applyFont="1" applyAlignment="1">
      <alignment horizontal="left"/>
    </xf>
    <xf numFmtId="0" fontId="0" fillId="0" borderId="10" xfId="5" applyNumberFormat="1" applyFont="1" applyBorder="1" applyAlignment="1">
      <alignment horizontal="left"/>
    </xf>
    <xf numFmtId="0" fontId="2" fillId="0" borderId="16" xfId="2" applyNumberFormat="1" applyFont="1" applyBorder="1" applyAlignment="1">
      <alignment horizontal="center"/>
    </xf>
    <xf numFmtId="0" fontId="0" fillId="0" borderId="7" xfId="2" quotePrefix="1" applyNumberFormat="1" applyFont="1" applyBorder="1" applyAlignment="1">
      <alignment horizontal="center" vertical="top" wrapText="1"/>
    </xf>
    <xf numFmtId="0" fontId="0" fillId="0" borderId="5" xfId="2" applyNumberFormat="1" applyFont="1" applyBorder="1" applyAlignment="1">
      <alignment horizontal="center" vertical="top" wrapText="1"/>
    </xf>
    <xf numFmtId="0" fontId="2" fillId="0" borderId="21" xfId="6" applyNumberFormat="1" applyFont="1" applyBorder="1" applyAlignment="1">
      <alignment horizontal="left"/>
    </xf>
    <xf numFmtId="0" fontId="2" fillId="0" borderId="16" xfId="6" applyNumberFormat="1" applyFont="1" applyBorder="1" applyAlignment="1">
      <alignment horizontal="left"/>
    </xf>
    <xf numFmtId="0" fontId="2" fillId="0" borderId="22" xfId="6" applyNumberFormat="1" applyFont="1" applyBorder="1" applyAlignment="1">
      <alignment horizontal="left"/>
    </xf>
    <xf numFmtId="0" fontId="2" fillId="0" borderId="8" xfId="6" applyNumberFormat="1" applyFont="1" applyBorder="1" applyAlignment="1">
      <alignment horizontal="left"/>
    </xf>
    <xf numFmtId="164" fontId="3" fillId="0" borderId="1" xfId="2" applyFont="1" applyBorder="1" applyAlignment="1">
      <alignment horizontal="center"/>
    </xf>
    <xf numFmtId="164" fontId="3" fillId="0" borderId="2" xfId="2" applyFont="1" applyBorder="1" applyAlignment="1">
      <alignment horizontal="center"/>
    </xf>
    <xf numFmtId="164" fontId="3" fillId="0" borderId="3" xfId="2" applyFont="1" applyBorder="1" applyAlignment="1">
      <alignment horizontal="center"/>
    </xf>
    <xf numFmtId="0" fontId="2" fillId="0" borderId="4" xfId="4" applyNumberFormat="1" applyFont="1" applyBorder="1" applyAlignment="1">
      <alignment horizontal="left"/>
    </xf>
    <xf numFmtId="0" fontId="2" fillId="0" borderId="5" xfId="4" applyNumberFormat="1" applyFont="1" applyBorder="1" applyAlignment="1">
      <alignment horizontal="left"/>
    </xf>
    <xf numFmtId="0" fontId="2" fillId="0" borderId="6" xfId="4" applyNumberFormat="1" applyFont="1" applyBorder="1" applyAlignment="1">
      <alignment horizontal="left"/>
    </xf>
    <xf numFmtId="0" fontId="0" fillId="0" borderId="7" xfId="2" applyNumberFormat="1" applyFont="1" applyBorder="1" applyAlignment="1">
      <alignment horizontal="left"/>
    </xf>
    <xf numFmtId="0" fontId="0" fillId="0" borderId="5" xfId="2" applyNumberFormat="1" applyFont="1" applyBorder="1" applyAlignment="1">
      <alignment horizontal="left"/>
    </xf>
    <xf numFmtId="0" fontId="0" fillId="0" borderId="6" xfId="2" applyNumberFormat="1" applyFont="1" applyBorder="1" applyAlignment="1">
      <alignment horizontal="left"/>
    </xf>
    <xf numFmtId="11" fontId="2" fillId="0" borderId="11" xfId="5" applyNumberFormat="1" applyFont="1" applyBorder="1" applyAlignment="1">
      <alignment horizontal="left"/>
    </xf>
    <xf numFmtId="0" fontId="2" fillId="0" borderId="12" xfId="5" applyNumberFormat="1" applyFont="1" applyBorder="1" applyAlignment="1">
      <alignment horizontal="left"/>
    </xf>
    <xf numFmtId="0" fontId="2" fillId="0" borderId="13" xfId="5" applyNumberFormat="1" applyFont="1" applyBorder="1" applyAlignment="1">
      <alignment horizontal="left"/>
    </xf>
    <xf numFmtId="0" fontId="2" fillId="0" borderId="7" xfId="2" applyNumberFormat="1" applyFont="1" applyBorder="1" applyAlignment="1">
      <alignment horizontal="center" vertical="top" wrapText="1"/>
    </xf>
    <xf numFmtId="0" fontId="2" fillId="0" borderId="5" xfId="2" applyNumberFormat="1" applyFont="1" applyBorder="1" applyAlignment="1">
      <alignment horizontal="center" vertical="top" wrapText="1"/>
    </xf>
    <xf numFmtId="0" fontId="2" fillId="0" borderId="15" xfId="2" applyNumberFormat="1" applyFont="1" applyBorder="1" applyAlignment="1">
      <alignment horizontal="center" vertical="top" wrapText="1"/>
    </xf>
    <xf numFmtId="164" fontId="2" fillId="0" borderId="21" xfId="6" applyFont="1" applyBorder="1" applyAlignment="1">
      <alignment horizontal="left"/>
    </xf>
    <xf numFmtId="164" fontId="2" fillId="0" borderId="16" xfId="6" applyFont="1" applyBorder="1" applyAlignment="1">
      <alignment horizontal="left"/>
    </xf>
    <xf numFmtId="164" fontId="10" fillId="0" borderId="0" xfId="6" applyFont="1" applyAlignment="1">
      <alignment horizontal="left"/>
    </xf>
    <xf numFmtId="164" fontId="10" fillId="0" borderId="18" xfId="6" applyFont="1" applyBorder="1" applyAlignment="1">
      <alignment horizontal="left"/>
    </xf>
    <xf numFmtId="164" fontId="2" fillId="0" borderId="24" xfId="6" applyFont="1" applyBorder="1" applyAlignment="1">
      <alignment horizontal="left"/>
    </xf>
    <xf numFmtId="164" fontId="2" fillId="0" borderId="25" xfId="6" applyFont="1" applyBorder="1" applyAlignment="1">
      <alignment horizontal="left"/>
    </xf>
    <xf numFmtId="164" fontId="2" fillId="0" borderId="35" xfId="6" applyFont="1" applyBorder="1" applyAlignment="1">
      <alignment horizontal="left"/>
    </xf>
    <xf numFmtId="164" fontId="2" fillId="0" borderId="36" xfId="6" applyFont="1" applyBorder="1" applyAlignment="1">
      <alignment horizontal="left"/>
    </xf>
    <xf numFmtId="164" fontId="0" fillId="0" borderId="32" xfId="6" applyFont="1" applyBorder="1" applyAlignment="1">
      <alignment horizontal="left"/>
    </xf>
    <xf numFmtId="164" fontId="0" fillId="0" borderId="33" xfId="6" applyFont="1" applyBorder="1" applyAlignment="1">
      <alignment horizontal="left"/>
    </xf>
    <xf numFmtId="2" fontId="0" fillId="0" borderId="0" xfId="6" applyNumberFormat="1" applyFont="1" applyAlignment="1">
      <alignment horizontal="left" vertical="center" wrapText="1"/>
    </xf>
    <xf numFmtId="2" fontId="0" fillId="0" borderId="0" xfId="6" applyNumberFormat="1" applyFont="1" applyAlignment="1">
      <alignment horizontal="right" vertical="center" wrapText="1"/>
    </xf>
    <xf numFmtId="164" fontId="0" fillId="0" borderId="0" xfId="6" applyFont="1" applyAlignment="1">
      <alignment horizontal="center" vertical="center" wrapText="1"/>
    </xf>
    <xf numFmtId="164" fontId="0" fillId="0" borderId="12" xfId="10" applyFont="1" applyBorder="1" applyAlignment="1">
      <alignment horizontal="left" vertical="center" wrapText="1"/>
    </xf>
    <xf numFmtId="2" fontId="1" fillId="0" borderId="30" xfId="7" applyNumberFormat="1" applyBorder="1" applyAlignment="1">
      <alignment horizontal="center" vertical="center" wrapText="1"/>
    </xf>
    <xf numFmtId="164" fontId="3" fillId="0" borderId="21" xfId="6" applyFont="1" applyBorder="1" applyAlignment="1">
      <alignment horizontal="center" vertical="center" wrapText="1"/>
    </xf>
    <xf numFmtId="164" fontId="3" fillId="0" borderId="16" xfId="6" applyFont="1" applyBorder="1" applyAlignment="1">
      <alignment horizontal="center" vertical="center" wrapText="1"/>
    </xf>
    <xf numFmtId="164" fontId="3" fillId="0" borderId="26" xfId="6" applyFont="1" applyBorder="1" applyAlignment="1">
      <alignment horizontal="center" vertical="center"/>
    </xf>
    <xf numFmtId="164" fontId="3" fillId="0" borderId="27" xfId="6" applyFont="1" applyBorder="1" applyAlignment="1">
      <alignment horizontal="center" vertical="center"/>
    </xf>
    <xf numFmtId="164" fontId="3" fillId="0" borderId="25" xfId="6" applyFont="1" applyBorder="1" applyAlignment="1">
      <alignment horizontal="center" vertical="center"/>
    </xf>
    <xf numFmtId="164" fontId="3" fillId="0" borderId="16" xfId="6" applyFont="1" applyBorder="1" applyAlignment="1">
      <alignment horizontal="center" vertical="center"/>
    </xf>
    <xf numFmtId="164" fontId="3" fillId="0" borderId="28" xfId="6" applyFont="1" applyBorder="1" applyAlignment="1">
      <alignment horizontal="center" vertical="center"/>
    </xf>
    <xf numFmtId="0" fontId="3" fillId="0" borderId="7" xfId="2" applyNumberFormat="1" applyFont="1" applyBorder="1" applyAlignment="1">
      <alignment horizontal="left"/>
    </xf>
    <xf numFmtId="0" fontId="3" fillId="0" borderId="5" xfId="2" applyNumberFormat="1" applyFont="1" applyBorder="1" applyAlignment="1">
      <alignment horizontal="left"/>
    </xf>
    <xf numFmtId="0" fontId="3" fillId="0" borderId="15" xfId="2" applyNumberFormat="1" applyFont="1" applyBorder="1" applyAlignment="1">
      <alignment horizontal="left"/>
    </xf>
    <xf numFmtId="0" fontId="2" fillId="0" borderId="16" xfId="6" applyNumberFormat="1" applyFont="1" applyBorder="1" applyAlignment="1">
      <alignment horizontal="center"/>
    </xf>
    <xf numFmtId="0" fontId="0" fillId="0" borderId="7" xfId="6" quotePrefix="1" applyNumberFormat="1" applyFont="1" applyBorder="1" applyAlignment="1">
      <alignment horizontal="center" vertical="top" wrapText="1"/>
    </xf>
    <xf numFmtId="0" fontId="0" fillId="0" borderId="5" xfId="6" applyNumberFormat="1" applyFont="1" applyBorder="1" applyAlignment="1">
      <alignment horizontal="center" vertical="top" wrapText="1"/>
    </xf>
    <xf numFmtId="0" fontId="0" fillId="0" borderId="19" xfId="6" applyNumberFormat="1" applyFont="1" applyBorder="1" applyAlignment="1">
      <alignment horizontal="left"/>
    </xf>
    <xf numFmtId="0" fontId="0" fillId="0" borderId="12" xfId="6" applyNumberFormat="1" applyFont="1" applyBorder="1" applyAlignment="1">
      <alignment horizontal="left"/>
    </xf>
    <xf numFmtId="0" fontId="0" fillId="0" borderId="13" xfId="6" applyNumberFormat="1" applyFont="1" applyBorder="1" applyAlignment="1">
      <alignment horizontal="left"/>
    </xf>
    <xf numFmtId="164" fontId="3" fillId="0" borderId="1" xfId="6" applyFont="1" applyBorder="1" applyAlignment="1">
      <alignment horizontal="center"/>
    </xf>
    <xf numFmtId="164" fontId="3" fillId="0" borderId="2" xfId="6" applyFont="1" applyBorder="1" applyAlignment="1">
      <alignment horizontal="center"/>
    </xf>
    <xf numFmtId="164" fontId="3" fillId="0" borderId="3" xfId="6" applyFont="1" applyBorder="1" applyAlignment="1">
      <alignment horizontal="center"/>
    </xf>
    <xf numFmtId="0" fontId="0" fillId="0" borderId="7" xfId="6" applyNumberFormat="1" applyFont="1" applyBorder="1" applyAlignment="1">
      <alignment horizontal="left"/>
    </xf>
    <xf numFmtId="0" fontId="0" fillId="0" borderId="5" xfId="6" applyNumberFormat="1" applyFont="1" applyBorder="1" applyAlignment="1">
      <alignment horizontal="left"/>
    </xf>
    <xf numFmtId="0" fontId="0" fillId="0" borderId="6" xfId="6" applyNumberFormat="1" applyFont="1" applyBorder="1" applyAlignment="1">
      <alignment horizontal="left"/>
    </xf>
    <xf numFmtId="0" fontId="2" fillId="0" borderId="7" xfId="6" applyNumberFormat="1" applyFont="1" applyBorder="1" applyAlignment="1">
      <alignment horizontal="center" vertical="top" wrapText="1"/>
    </xf>
    <xf numFmtId="0" fontId="2" fillId="0" borderId="5" xfId="6" applyNumberFormat="1" applyFont="1" applyBorder="1" applyAlignment="1">
      <alignment horizontal="center" vertical="top" wrapText="1"/>
    </xf>
    <xf numFmtId="0" fontId="2" fillId="0" borderId="15" xfId="6" applyNumberFormat="1" applyFont="1" applyBorder="1" applyAlignment="1">
      <alignment horizontal="center" vertical="top" wrapText="1"/>
    </xf>
  </cellXfs>
  <cellStyles count="11">
    <cellStyle name="Hyperlink 4" xfId="3" xr:uid="{6C4B2E45-1CD0-4980-80A6-14EB594A0423}"/>
    <cellStyle name="Normal" xfId="0" builtinId="0"/>
    <cellStyle name="Normal 13" xfId="6" xr:uid="{E2E857D1-8878-438D-B620-BFD648FA0445}"/>
    <cellStyle name="Normal 14" xfId="2" xr:uid="{4B090EFD-6173-4E7D-ABF0-A6555CED6AAB}"/>
    <cellStyle name="Normal 16" xfId="10" xr:uid="{ABE13183-E07C-423A-8165-3CC2A9B7CC8A}"/>
    <cellStyle name="Normal 2" xfId="5" xr:uid="{BCD8461E-9BBE-410E-9A30-38CA0C2F6AAF}"/>
    <cellStyle name="Normal 37" xfId="4" xr:uid="{CD1FF602-F070-4E67-830A-5FD1D4A8138F}"/>
    <cellStyle name="Normal 5" xfId="8" xr:uid="{8334EF69-F656-4409-BC5D-19D11CD254B9}"/>
    <cellStyle name="Normal 6" xfId="7" xr:uid="{DC94B950-6C91-43D2-8B8B-05476B6E779F}"/>
    <cellStyle name="Normal 8" xfId="9" xr:uid="{1B5F5199-8C66-4326-B2D2-7A44B458C1A4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Master 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0</xdr:row>
      <xdr:rowOff>19050</xdr:rowOff>
    </xdr:from>
    <xdr:to>
      <xdr:col>11</xdr:col>
      <xdr:colOff>466725</xdr:colOff>
      <xdr:row>1</xdr:row>
      <xdr:rowOff>57150</xdr:rowOff>
    </xdr:to>
    <xdr:sp macro="" textlink="">
      <xdr:nvSpPr>
        <xdr:cNvPr id="2" name="Left Arrow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4CF4F1-034F-4373-B30E-A0577381E0DC}"/>
            </a:ext>
          </a:extLst>
        </xdr:cNvPr>
        <xdr:cNvSpPr/>
      </xdr:nvSpPr>
      <xdr:spPr>
        <a:xfrm>
          <a:off x="10744200" y="19050"/>
          <a:ext cx="323850" cy="238125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944880</xdr:colOff>
      <xdr:row>40</xdr:row>
      <xdr:rowOff>45720</xdr:rowOff>
    </xdr:from>
    <xdr:ext cx="2057400" cy="396240"/>
    <xdr:pic>
      <xdr:nvPicPr>
        <xdr:cNvPr id="3" name="Picture 2" descr="SCAN SIGNATURE 001.jpg">
          <a:extLst>
            <a:ext uri="{FF2B5EF4-FFF2-40B4-BE49-F238E27FC236}">
              <a16:creationId xmlns:a16="http://schemas.microsoft.com/office/drawing/2014/main" id="{8614D093-878B-4CF5-B4B7-9B061F4A6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lum bright="20000"/>
        </a:blip>
        <a:srcRect l="4878" r="7317"/>
        <a:stretch>
          <a:fillRect/>
        </a:stretch>
      </xdr:blipFill>
      <xdr:spPr>
        <a:xfrm>
          <a:off x="6669405" y="12447270"/>
          <a:ext cx="2057400" cy="3962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967740</xdr:colOff>
      <xdr:row>32</xdr:row>
      <xdr:rowOff>68580</xdr:rowOff>
    </xdr:from>
    <xdr:ext cx="2057400" cy="466726"/>
    <xdr:pic>
      <xdr:nvPicPr>
        <xdr:cNvPr id="2" name="Picture 1" descr="SCAN SIGNATURE 001.jpg">
          <a:extLst>
            <a:ext uri="{FF2B5EF4-FFF2-40B4-BE49-F238E27FC236}">
              <a16:creationId xmlns:a16="http://schemas.microsoft.com/office/drawing/2014/main" id="{52D48C67-3BDC-4F0A-B964-60B9092CE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lum bright="20000"/>
        </a:blip>
        <a:srcRect l="4878" r="7317"/>
        <a:stretch>
          <a:fillRect/>
        </a:stretch>
      </xdr:blipFill>
      <xdr:spPr>
        <a:xfrm>
          <a:off x="6911340" y="11374755"/>
          <a:ext cx="2057400" cy="4667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BB64-3A51-4E17-BDAE-B7E21786286B}">
  <dimension ref="A1:N45"/>
  <sheetViews>
    <sheetView tabSelected="1" view="pageBreakPreview" zoomScaleSheetLayoutView="100" workbookViewId="0">
      <selection activeCell="A9" sqref="A9:E9"/>
    </sheetView>
  </sheetViews>
  <sheetFormatPr defaultColWidth="9.109375" defaultRowHeight="14.4" x14ac:dyDescent="0.3"/>
  <cols>
    <col min="1" max="1" width="12.6640625" style="1" customWidth="1"/>
    <col min="2" max="2" width="14.109375" style="1" customWidth="1"/>
    <col min="3" max="3" width="23.44140625" style="1" customWidth="1"/>
    <col min="4" max="4" width="12.88671875" style="1" customWidth="1"/>
    <col min="5" max="5" width="22.6640625" style="1" customWidth="1"/>
    <col min="6" max="6" width="15.5546875" style="1" customWidth="1"/>
    <col min="7" max="7" width="8.6640625" style="1" customWidth="1"/>
    <col min="8" max="8" width="10.6640625" style="1" customWidth="1"/>
    <col min="9" max="9" width="14.6640625" style="1" customWidth="1"/>
    <col min="10" max="10" width="9.109375" style="1"/>
    <col min="11" max="11" width="14.33203125" style="1" bestFit="1" customWidth="1"/>
    <col min="12" max="12" width="17.44140625" style="1" bestFit="1" customWidth="1"/>
    <col min="13" max="13" width="15.33203125" style="1" bestFit="1" customWidth="1"/>
    <col min="14" max="14" width="11.5546875" style="1" bestFit="1" customWidth="1"/>
    <col min="15" max="15" width="12.5546875" style="1" bestFit="1" customWidth="1"/>
    <col min="16" max="17" width="9.109375" style="1"/>
    <col min="18" max="18" width="10.5546875" style="1" bestFit="1" customWidth="1"/>
    <col min="19" max="16384" width="9.109375" style="1"/>
  </cols>
  <sheetData>
    <row r="1" spans="1:12" ht="15.6" x14ac:dyDescent="0.3">
      <c r="A1" s="211" t="s">
        <v>0</v>
      </c>
      <c r="B1" s="212"/>
      <c r="C1" s="212"/>
      <c r="D1" s="212"/>
      <c r="E1" s="212"/>
      <c r="F1" s="212"/>
      <c r="G1" s="212"/>
      <c r="H1" s="212"/>
      <c r="I1" s="213"/>
      <c r="L1" s="2"/>
    </row>
    <row r="2" spans="1:12" x14ac:dyDescent="0.3">
      <c r="A2" s="214" t="s">
        <v>1</v>
      </c>
      <c r="B2" s="215"/>
      <c r="C2" s="215"/>
      <c r="D2" s="215"/>
      <c r="E2" s="216"/>
      <c r="F2" s="217" t="s">
        <v>2</v>
      </c>
      <c r="G2" s="218"/>
      <c r="H2" s="219"/>
      <c r="I2" s="3" t="s">
        <v>3</v>
      </c>
    </row>
    <row r="3" spans="1:12" x14ac:dyDescent="0.3">
      <c r="A3" s="201" t="s">
        <v>4</v>
      </c>
      <c r="B3" s="202"/>
      <c r="C3" s="202"/>
      <c r="D3" s="202"/>
      <c r="E3" s="203"/>
      <c r="F3" s="220" t="s">
        <v>5</v>
      </c>
      <c r="G3" s="221"/>
      <c r="H3" s="222"/>
      <c r="I3" s="4" t="s">
        <v>6</v>
      </c>
    </row>
    <row r="4" spans="1:12" ht="15" customHeight="1" x14ac:dyDescent="0.3">
      <c r="A4" s="201" t="s">
        <v>7</v>
      </c>
      <c r="B4" s="202"/>
      <c r="C4" s="202"/>
      <c r="D4" s="202"/>
      <c r="E4" s="203"/>
      <c r="F4" s="223"/>
      <c r="G4" s="224"/>
      <c r="H4" s="224"/>
      <c r="I4" s="225"/>
    </row>
    <row r="5" spans="1:12" x14ac:dyDescent="0.3">
      <c r="A5" s="201" t="s">
        <v>8</v>
      </c>
      <c r="B5" s="202"/>
      <c r="C5" s="202"/>
      <c r="D5" s="202"/>
      <c r="E5" s="203"/>
      <c r="F5" s="204" t="s">
        <v>9</v>
      </c>
      <c r="G5" s="204"/>
      <c r="H5" s="204"/>
      <c r="I5" s="6" t="s">
        <v>10</v>
      </c>
    </row>
    <row r="6" spans="1:12" ht="15" customHeight="1" x14ac:dyDescent="0.3">
      <c r="A6" s="201" t="s">
        <v>11</v>
      </c>
      <c r="B6" s="202"/>
      <c r="C6" s="202"/>
      <c r="D6" s="202"/>
      <c r="E6" s="203"/>
      <c r="F6" s="205" t="s">
        <v>12</v>
      </c>
      <c r="G6" s="206"/>
      <c r="H6" s="206"/>
      <c r="I6" s="7">
        <v>87089900</v>
      </c>
    </row>
    <row r="7" spans="1:12" x14ac:dyDescent="0.3">
      <c r="A7" s="178"/>
      <c r="B7" s="179"/>
      <c r="C7" s="179"/>
      <c r="D7" s="179"/>
      <c r="E7" s="180"/>
      <c r="F7" s="8"/>
      <c r="G7" s="9"/>
      <c r="H7" s="9"/>
      <c r="I7" s="10"/>
    </row>
    <row r="8" spans="1:12" x14ac:dyDescent="0.3">
      <c r="A8" s="207" t="s">
        <v>13</v>
      </c>
      <c r="B8" s="208"/>
      <c r="C8" s="208"/>
      <c r="D8" s="208"/>
      <c r="E8" s="208"/>
      <c r="F8" s="209" t="s">
        <v>14</v>
      </c>
      <c r="G8" s="209"/>
      <c r="H8" s="209"/>
      <c r="I8" s="210"/>
    </row>
    <row r="9" spans="1:12" ht="15" customHeight="1" x14ac:dyDescent="0.3">
      <c r="A9" s="187" t="s">
        <v>15</v>
      </c>
      <c r="B9" s="188"/>
      <c r="C9" s="188"/>
      <c r="D9" s="188"/>
      <c r="E9" s="189"/>
      <c r="F9" s="190" t="s">
        <v>15</v>
      </c>
      <c r="G9" s="191"/>
      <c r="H9" s="191"/>
      <c r="I9" s="192"/>
    </row>
    <row r="10" spans="1:12" ht="15" customHeight="1" x14ac:dyDescent="0.3">
      <c r="A10" s="193" t="s">
        <v>16</v>
      </c>
      <c r="B10" s="194"/>
      <c r="C10" s="194"/>
      <c r="D10" s="194"/>
      <c r="E10" s="195"/>
      <c r="F10" s="196" t="s">
        <v>16</v>
      </c>
      <c r="G10" s="194"/>
      <c r="H10" s="194"/>
      <c r="I10" s="197"/>
      <c r="J10" s="11"/>
    </row>
    <row r="11" spans="1:12" ht="15" customHeight="1" x14ac:dyDescent="0.3">
      <c r="A11" s="176" t="s">
        <v>17</v>
      </c>
      <c r="B11" s="177"/>
      <c r="C11" s="177"/>
      <c r="D11" s="177"/>
      <c r="E11" s="198"/>
      <c r="F11" s="199" t="s">
        <v>17</v>
      </c>
      <c r="G11" s="177"/>
      <c r="H11" s="177"/>
      <c r="I11" s="200"/>
    </row>
    <row r="12" spans="1:12" ht="15" customHeight="1" x14ac:dyDescent="0.3">
      <c r="A12" s="176" t="s">
        <v>18</v>
      </c>
      <c r="B12" s="177"/>
      <c r="C12" s="177"/>
      <c r="D12" s="12"/>
      <c r="E12" s="13"/>
      <c r="F12" s="176" t="s">
        <v>18</v>
      </c>
      <c r="G12" s="177"/>
      <c r="H12" s="177"/>
      <c r="I12" s="14"/>
    </row>
    <row r="13" spans="1:12" ht="15" customHeight="1" x14ac:dyDescent="0.3">
      <c r="A13" s="178" t="s">
        <v>19</v>
      </c>
      <c r="B13" s="179"/>
      <c r="C13" s="179"/>
      <c r="D13" s="179"/>
      <c r="E13" s="180"/>
      <c r="F13" s="181" t="s">
        <v>19</v>
      </c>
      <c r="G13" s="179"/>
      <c r="H13" s="179"/>
      <c r="I13" s="182"/>
    </row>
    <row r="14" spans="1:12" s="15" customFormat="1" ht="34.5" customHeight="1" x14ac:dyDescent="0.3">
      <c r="A14" s="168" t="s">
        <v>20</v>
      </c>
      <c r="B14" s="169"/>
      <c r="C14" s="183" t="s">
        <v>21</v>
      </c>
      <c r="D14" s="184"/>
      <c r="E14" s="185"/>
      <c r="F14" s="183" t="s">
        <v>22</v>
      </c>
      <c r="G14" s="184"/>
      <c r="H14" s="184"/>
      <c r="I14" s="186"/>
      <c r="L14" s="16"/>
    </row>
    <row r="15" spans="1:12" s="15" customFormat="1" ht="34.5" customHeight="1" x14ac:dyDescent="0.3">
      <c r="A15" s="168" t="s">
        <v>23</v>
      </c>
      <c r="B15" s="169"/>
      <c r="C15" s="170" t="s">
        <v>24</v>
      </c>
      <c r="D15" s="159"/>
      <c r="E15" s="169"/>
      <c r="F15" s="171" t="s">
        <v>25</v>
      </c>
      <c r="G15" s="172"/>
      <c r="H15" s="172"/>
      <c r="I15" s="173"/>
    </row>
    <row r="16" spans="1:12" s="15" customFormat="1" ht="34.5" customHeight="1" x14ac:dyDescent="0.3">
      <c r="A16" s="174" t="s">
        <v>26</v>
      </c>
      <c r="B16" s="175"/>
      <c r="C16" s="170" t="s">
        <v>27</v>
      </c>
      <c r="D16" s="159"/>
      <c r="E16" s="169"/>
      <c r="F16" s="170" t="s">
        <v>28</v>
      </c>
      <c r="G16" s="159"/>
      <c r="H16" s="159"/>
      <c r="I16" s="160"/>
    </row>
    <row r="17" spans="1:14" s="15" customFormat="1" ht="34.5" customHeight="1" x14ac:dyDescent="0.3">
      <c r="A17" s="156" t="s">
        <v>29</v>
      </c>
      <c r="B17" s="157"/>
      <c r="C17" s="158" t="s">
        <v>30</v>
      </c>
      <c r="D17" s="158"/>
      <c r="E17" s="158"/>
      <c r="F17" s="159" t="s">
        <v>31</v>
      </c>
      <c r="G17" s="159"/>
      <c r="H17" s="159"/>
      <c r="I17" s="160"/>
    </row>
    <row r="18" spans="1:14" s="15" customFormat="1" ht="15.75" customHeight="1" x14ac:dyDescent="0.3">
      <c r="A18" s="161" t="s">
        <v>32</v>
      </c>
      <c r="B18" s="162" t="s">
        <v>33</v>
      </c>
      <c r="C18" s="162" t="s">
        <v>34</v>
      </c>
      <c r="D18" s="163" t="s">
        <v>35</v>
      </c>
      <c r="E18" s="164"/>
      <c r="F18" s="165"/>
      <c r="G18" s="166" t="s">
        <v>36</v>
      </c>
      <c r="H18" s="166" t="s">
        <v>37</v>
      </c>
      <c r="I18" s="167"/>
    </row>
    <row r="19" spans="1:14" s="19" customFormat="1" ht="44.25" customHeight="1" x14ac:dyDescent="0.3">
      <c r="A19" s="161"/>
      <c r="B19" s="162"/>
      <c r="C19" s="162"/>
      <c r="D19" s="17" t="s">
        <v>38</v>
      </c>
      <c r="E19" s="17" t="s">
        <v>39</v>
      </c>
      <c r="F19" s="17" t="s">
        <v>40</v>
      </c>
      <c r="G19" s="166"/>
      <c r="H19" s="17" t="s">
        <v>41</v>
      </c>
      <c r="I19" s="18" t="s">
        <v>42</v>
      </c>
    </row>
    <row r="20" spans="1:14" ht="47.25" customHeight="1" x14ac:dyDescent="0.3">
      <c r="A20" s="154" t="s">
        <v>43</v>
      </c>
      <c r="B20" s="155"/>
      <c r="C20" s="19" t="s">
        <v>44</v>
      </c>
      <c r="D20" s="22">
        <v>2001104</v>
      </c>
      <c r="E20" s="21" t="s">
        <v>45</v>
      </c>
      <c r="F20" s="21" t="s">
        <v>46</v>
      </c>
      <c r="G20" s="23">
        <v>33600</v>
      </c>
      <c r="H20" s="24">
        <v>0.25650000000000001</v>
      </c>
      <c r="I20" s="25">
        <f>G20*H20</f>
        <v>8618.4</v>
      </c>
    </row>
    <row r="21" spans="1:14" ht="47.25" customHeight="1" x14ac:dyDescent="0.3">
      <c r="A21" s="154" t="s">
        <v>47</v>
      </c>
      <c r="B21" s="155"/>
      <c r="C21" s="26" t="s">
        <v>48</v>
      </c>
      <c r="D21" s="26">
        <v>2001104</v>
      </c>
      <c r="E21" s="21" t="s">
        <v>49</v>
      </c>
      <c r="F21" s="21" t="s">
        <v>50</v>
      </c>
      <c r="G21" s="27">
        <v>13440</v>
      </c>
      <c r="H21" s="28">
        <v>0.84889999999999999</v>
      </c>
      <c r="I21" s="29">
        <f t="shared" ref="I21" si="0">H21*G21</f>
        <v>11409.216</v>
      </c>
      <c r="K21" s="1">
        <f>6720/70</f>
        <v>96</v>
      </c>
      <c r="L21" s="30"/>
    </row>
    <row r="22" spans="1:14" ht="47.25" customHeight="1" x14ac:dyDescent="0.3">
      <c r="A22" s="154" t="s">
        <v>51</v>
      </c>
      <c r="B22" s="155"/>
      <c r="C22" s="31" t="s">
        <v>48</v>
      </c>
      <c r="D22" s="26">
        <v>2001104</v>
      </c>
      <c r="E22" s="32" t="s">
        <v>52</v>
      </c>
      <c r="F22" s="32" t="s">
        <v>53</v>
      </c>
      <c r="G22" s="27">
        <v>6720</v>
      </c>
      <c r="H22" s="28">
        <v>0.83360000000000001</v>
      </c>
      <c r="I22" s="29">
        <f>H22*G22</f>
        <v>5601.7920000000004</v>
      </c>
      <c r="L22" s="30"/>
    </row>
    <row r="23" spans="1:14" ht="47.25" customHeight="1" x14ac:dyDescent="0.3">
      <c r="A23" s="154" t="s">
        <v>54</v>
      </c>
      <c r="B23" s="155"/>
      <c r="C23" s="19" t="s">
        <v>55</v>
      </c>
      <c r="D23" s="33" t="s">
        <v>56</v>
      </c>
      <c r="E23" s="34" t="s">
        <v>57</v>
      </c>
      <c r="F23" s="35" t="s">
        <v>58</v>
      </c>
      <c r="G23" s="36">
        <v>6720</v>
      </c>
      <c r="H23" s="24">
        <v>0.83309999999999995</v>
      </c>
      <c r="I23" s="29">
        <f>H23*G23</f>
        <v>5598.4319999999998</v>
      </c>
      <c r="L23" s="30"/>
    </row>
    <row r="24" spans="1:14" ht="47.25" customHeight="1" x14ac:dyDescent="0.3">
      <c r="A24" s="154" t="s">
        <v>59</v>
      </c>
      <c r="B24" s="155"/>
      <c r="C24" s="31" t="s">
        <v>48</v>
      </c>
      <c r="D24" s="26">
        <v>2001104</v>
      </c>
      <c r="E24" s="32" t="s">
        <v>52</v>
      </c>
      <c r="F24" s="32" t="s">
        <v>53</v>
      </c>
      <c r="G24" s="27">
        <v>5670</v>
      </c>
      <c r="H24" s="28">
        <v>0.83360000000000001</v>
      </c>
      <c r="I24" s="29">
        <f>H24*G24</f>
        <v>4726.5119999999997</v>
      </c>
      <c r="K24" s="1">
        <f>6720+5670</f>
        <v>12390</v>
      </c>
      <c r="L24" s="30"/>
    </row>
    <row r="25" spans="1:14" ht="48" customHeight="1" x14ac:dyDescent="0.3">
      <c r="A25" s="154"/>
      <c r="B25" s="155"/>
      <c r="C25" s="31" t="s">
        <v>48</v>
      </c>
      <c r="D25" s="26">
        <v>2001104</v>
      </c>
      <c r="E25" s="32" t="s">
        <v>60</v>
      </c>
      <c r="F25" s="32" t="s">
        <v>61</v>
      </c>
      <c r="G25" s="27">
        <v>1050</v>
      </c>
      <c r="H25" s="28">
        <v>0.95550000000000002</v>
      </c>
      <c r="I25" s="29">
        <f t="shared" ref="I25" si="1">H25*G25</f>
        <v>1003.275</v>
      </c>
    </row>
    <row r="26" spans="1:14" ht="48" customHeight="1" x14ac:dyDescent="0.3">
      <c r="A26" s="154" t="s">
        <v>62</v>
      </c>
      <c r="B26" s="155"/>
      <c r="C26" s="31" t="s">
        <v>63</v>
      </c>
      <c r="D26" s="22">
        <v>2001104</v>
      </c>
      <c r="E26" s="32" t="s">
        <v>64</v>
      </c>
      <c r="F26" s="32" t="s">
        <v>65</v>
      </c>
      <c r="G26" s="23">
        <v>50000</v>
      </c>
      <c r="H26" s="37">
        <v>2.1600000000000001E-2</v>
      </c>
      <c r="I26" s="25">
        <f>+G26*H26</f>
        <v>1080</v>
      </c>
    </row>
    <row r="27" spans="1:14" ht="48" customHeight="1" x14ac:dyDescent="0.3">
      <c r="A27" s="20"/>
      <c r="B27" s="21"/>
      <c r="C27" s="31"/>
      <c r="D27" s="26"/>
      <c r="E27" s="32"/>
      <c r="F27" s="32"/>
      <c r="G27" s="27"/>
      <c r="H27" s="38"/>
      <c r="I27" s="29"/>
    </row>
    <row r="28" spans="1:14" ht="16.2" customHeight="1" x14ac:dyDescent="0.3">
      <c r="A28" s="20"/>
      <c r="B28" s="21"/>
      <c r="C28" s="31"/>
      <c r="D28" s="26"/>
      <c r="E28" s="32"/>
      <c r="F28" s="32"/>
      <c r="G28" s="27"/>
      <c r="H28" s="38"/>
      <c r="I28" s="29"/>
    </row>
    <row r="29" spans="1:14" ht="15.6" x14ac:dyDescent="0.3">
      <c r="A29" s="39"/>
      <c r="B29" s="19"/>
      <c r="C29" s="31"/>
      <c r="D29" s="26"/>
      <c r="E29" s="32"/>
      <c r="F29" s="32"/>
      <c r="G29" s="27"/>
      <c r="H29" s="38"/>
      <c r="I29" s="29"/>
    </row>
    <row r="30" spans="1:14" ht="15" customHeight="1" x14ac:dyDescent="0.3">
      <c r="A30" s="40"/>
      <c r="B30" s="148" t="s">
        <v>66</v>
      </c>
      <c r="C30" s="148"/>
      <c r="D30" s="148"/>
      <c r="E30" s="41"/>
      <c r="F30" s="42"/>
      <c r="G30" s="23"/>
      <c r="H30" s="43"/>
      <c r="I30" s="25"/>
    </row>
    <row r="31" spans="1:14" ht="17.25" customHeight="1" x14ac:dyDescent="0.3">
      <c r="A31" s="44"/>
      <c r="B31" s="148" t="s">
        <v>67</v>
      </c>
      <c r="C31" s="148"/>
      <c r="D31" s="148"/>
      <c r="E31" s="148"/>
      <c r="F31" s="42"/>
      <c r="G31" s="23"/>
      <c r="H31" s="43"/>
      <c r="I31" s="25"/>
      <c r="L31" s="149" t="s">
        <v>68</v>
      </c>
      <c r="M31" s="149"/>
      <c r="N31" s="30"/>
    </row>
    <row r="32" spans="1:14" x14ac:dyDescent="0.3">
      <c r="A32" s="46"/>
      <c r="B32" s="150" t="s">
        <v>69</v>
      </c>
      <c r="C32" s="150"/>
      <c r="D32" s="48"/>
      <c r="E32" s="48"/>
      <c r="F32" s="49"/>
      <c r="G32" s="50"/>
      <c r="H32" s="51"/>
      <c r="I32" s="52"/>
      <c r="L32" s="45"/>
      <c r="M32" s="45"/>
      <c r="N32" s="30"/>
    </row>
    <row r="33" spans="1:14" ht="15" customHeight="1" x14ac:dyDescent="0.3">
      <c r="A33" s="53"/>
      <c r="F33" s="54"/>
      <c r="G33" s="55"/>
      <c r="H33" s="55"/>
      <c r="I33" s="56"/>
      <c r="L33" s="57">
        <f>+I35*M33</f>
        <v>3586948.2261000006</v>
      </c>
      <c r="M33" s="58">
        <v>94.3</v>
      </c>
      <c r="N33" s="58">
        <f>+L35*0.000251</f>
        <v>990.35640522621009</v>
      </c>
    </row>
    <row r="34" spans="1:14" x14ac:dyDescent="0.3">
      <c r="A34" s="53"/>
      <c r="B34" s="151" t="s">
        <v>70</v>
      </c>
      <c r="C34" s="151"/>
      <c r="D34" s="151"/>
      <c r="F34" s="54"/>
      <c r="G34" s="55"/>
      <c r="H34" s="55"/>
      <c r="I34" s="56"/>
      <c r="L34" s="57">
        <f>+L33*10%</f>
        <v>358694.82261000009</v>
      </c>
      <c r="M34" s="58"/>
      <c r="N34" s="58">
        <f>+N33*18%</f>
        <v>178.26415294071782</v>
      </c>
    </row>
    <row r="35" spans="1:14" x14ac:dyDescent="0.3">
      <c r="A35" s="59" t="s">
        <v>71</v>
      </c>
      <c r="B35" s="60" t="s">
        <v>72</v>
      </c>
      <c r="C35" s="61"/>
      <c r="D35" s="61"/>
      <c r="E35" s="61"/>
      <c r="F35" s="62"/>
      <c r="G35" s="5">
        <f>SUM(G20:G34)</f>
        <v>117200</v>
      </c>
      <c r="H35" s="63" t="s">
        <v>73</v>
      </c>
      <c r="I35" s="64">
        <f>SUM(I20:I34)</f>
        <v>38037.627000000008</v>
      </c>
      <c r="L35" s="57">
        <f>+L33+L34</f>
        <v>3945643.0487100007</v>
      </c>
      <c r="M35" s="58"/>
      <c r="N35" s="58">
        <f>+N33+N34</f>
        <v>1168.6205581669278</v>
      </c>
    </row>
    <row r="36" spans="1:14" ht="18" x14ac:dyDescent="0.35">
      <c r="A36" s="65" t="s">
        <v>74</v>
      </c>
      <c r="B36" s="66"/>
      <c r="C36" s="67"/>
      <c r="D36" s="67"/>
      <c r="E36" s="67"/>
      <c r="F36" s="67"/>
      <c r="G36" s="68"/>
      <c r="H36" s="68"/>
      <c r="I36" s="69"/>
      <c r="L36" s="30"/>
      <c r="M36" s="30"/>
      <c r="N36" s="30"/>
    </row>
    <row r="37" spans="1:14" x14ac:dyDescent="0.3">
      <c r="A37" s="70" t="s">
        <v>75</v>
      </c>
      <c r="B37" s="71"/>
      <c r="C37" s="71"/>
      <c r="D37" s="71"/>
      <c r="E37" s="71"/>
      <c r="F37" s="71"/>
      <c r="G37" s="72"/>
      <c r="H37" s="72"/>
      <c r="I37" s="73"/>
      <c r="L37" s="30"/>
      <c r="M37" s="30"/>
      <c r="N37" s="30"/>
    </row>
    <row r="38" spans="1:14" x14ac:dyDescent="0.3">
      <c r="A38" s="70" t="s">
        <v>76</v>
      </c>
      <c r="B38" s="71"/>
      <c r="C38" s="71"/>
      <c r="D38" s="71"/>
      <c r="E38" s="71"/>
      <c r="F38" s="71"/>
      <c r="G38" s="74"/>
      <c r="H38" s="74"/>
      <c r="I38" s="75"/>
      <c r="L38" s="30"/>
      <c r="M38" s="30"/>
      <c r="N38" s="30"/>
    </row>
    <row r="39" spans="1:14" x14ac:dyDescent="0.3">
      <c r="A39" s="70" t="s">
        <v>77</v>
      </c>
      <c r="B39" s="71"/>
      <c r="C39" s="71"/>
      <c r="D39" s="71"/>
      <c r="E39" s="71"/>
      <c r="F39" s="71"/>
      <c r="G39" s="74"/>
      <c r="H39" s="74"/>
      <c r="I39" s="75"/>
      <c r="L39" s="30"/>
      <c r="M39" s="30"/>
      <c r="N39" s="30"/>
    </row>
    <row r="40" spans="1:14" x14ac:dyDescent="0.3">
      <c r="A40" s="70"/>
      <c r="B40" s="71"/>
      <c r="C40" s="71"/>
      <c r="D40" s="71"/>
      <c r="E40" s="71"/>
      <c r="F40" s="71"/>
      <c r="G40" s="152" t="s">
        <v>78</v>
      </c>
      <c r="H40" s="152"/>
      <c r="I40" s="153"/>
      <c r="L40" s="76" t="s">
        <v>79</v>
      </c>
      <c r="M40" s="76"/>
      <c r="N40" s="30"/>
    </row>
    <row r="41" spans="1:14" ht="20.25" customHeight="1" x14ac:dyDescent="0.3">
      <c r="A41" s="77" t="s">
        <v>80</v>
      </c>
      <c r="B41" s="78"/>
      <c r="C41" s="78"/>
      <c r="D41" s="22"/>
      <c r="E41" s="78"/>
      <c r="F41" s="11"/>
      <c r="G41" s="11"/>
      <c r="H41" s="11"/>
      <c r="I41" s="79"/>
      <c r="L41" s="30">
        <f>117*99*114/1000000</f>
        <v>1.320462</v>
      </c>
      <c r="M41" s="30"/>
      <c r="N41" s="30"/>
    </row>
    <row r="42" spans="1:14" x14ac:dyDescent="0.3">
      <c r="A42" s="80" t="s">
        <v>81</v>
      </c>
      <c r="B42" s="78"/>
      <c r="C42" s="78"/>
      <c r="D42" s="22"/>
      <c r="E42" s="78"/>
      <c r="F42" s="11"/>
      <c r="G42" s="11"/>
      <c r="H42" s="11"/>
      <c r="I42" s="79"/>
      <c r="L42" s="30">
        <f>+L41</f>
        <v>1.320462</v>
      </c>
      <c r="M42" s="30"/>
      <c r="N42" s="30"/>
    </row>
    <row r="43" spans="1:14" ht="15" thickBot="1" x14ac:dyDescent="0.35">
      <c r="A43" s="81" t="s">
        <v>82</v>
      </c>
      <c r="B43" s="82"/>
      <c r="C43" s="82"/>
      <c r="D43" s="83"/>
      <c r="E43" s="82"/>
      <c r="F43" s="84"/>
      <c r="G43" s="146" t="s">
        <v>83</v>
      </c>
      <c r="H43" s="146"/>
      <c r="I43" s="147"/>
      <c r="L43" s="30">
        <f>+L42*12</f>
        <v>15.845544</v>
      </c>
      <c r="M43" s="30"/>
      <c r="N43" s="30"/>
    </row>
    <row r="44" spans="1:14" x14ac:dyDescent="0.3">
      <c r="L44" s="30">
        <f>+L43*60</f>
        <v>950.73264000000006</v>
      </c>
      <c r="M44" s="30"/>
      <c r="N44" s="30"/>
    </row>
    <row r="45" spans="1:14" x14ac:dyDescent="0.3">
      <c r="L45" s="30">
        <f>+L44*M33</f>
        <v>89654.087952000002</v>
      </c>
      <c r="M45" s="30"/>
      <c r="N45" s="30"/>
    </row>
  </sheetData>
  <mergeCells count="55">
    <mergeCell ref="A8:E8"/>
    <mergeCell ref="F8:I8"/>
    <mergeCell ref="A1:I1"/>
    <mergeCell ref="A2:E2"/>
    <mergeCell ref="F2:H2"/>
    <mergeCell ref="A3:E3"/>
    <mergeCell ref="F3:H3"/>
    <mergeCell ref="A4:E4"/>
    <mergeCell ref="F4:I4"/>
    <mergeCell ref="A5:E5"/>
    <mergeCell ref="F5:H5"/>
    <mergeCell ref="A6:E6"/>
    <mergeCell ref="F6:H6"/>
    <mergeCell ref="A7:E7"/>
    <mergeCell ref="A9:E9"/>
    <mergeCell ref="F9:I9"/>
    <mergeCell ref="A10:E10"/>
    <mergeCell ref="F10:I10"/>
    <mergeCell ref="A11:E11"/>
    <mergeCell ref="F11:I11"/>
    <mergeCell ref="A12:C12"/>
    <mergeCell ref="F12:H12"/>
    <mergeCell ref="A13:E13"/>
    <mergeCell ref="F13:I13"/>
    <mergeCell ref="A14:B14"/>
    <mergeCell ref="C14:E14"/>
    <mergeCell ref="F14:I14"/>
    <mergeCell ref="A15:B15"/>
    <mergeCell ref="C15:E15"/>
    <mergeCell ref="F15:I15"/>
    <mergeCell ref="A16:B16"/>
    <mergeCell ref="C16:E16"/>
    <mergeCell ref="F16:I16"/>
    <mergeCell ref="A26:B26"/>
    <mergeCell ref="A17:B17"/>
    <mergeCell ref="C17:E17"/>
    <mergeCell ref="F17:I17"/>
    <mergeCell ref="A18:A19"/>
    <mergeCell ref="B18:B19"/>
    <mergeCell ref="C18:C19"/>
    <mergeCell ref="D18:F18"/>
    <mergeCell ref="G18:G19"/>
    <mergeCell ref="H18:I18"/>
    <mergeCell ref="A20:B20"/>
    <mergeCell ref="A21:B21"/>
    <mergeCell ref="A22:B22"/>
    <mergeCell ref="A23:B23"/>
    <mergeCell ref="A24:B25"/>
    <mergeCell ref="G43:I43"/>
    <mergeCell ref="B30:D30"/>
    <mergeCell ref="B31:E31"/>
    <mergeCell ref="L31:M31"/>
    <mergeCell ref="B32:C32"/>
    <mergeCell ref="B34:D34"/>
    <mergeCell ref="G40:I40"/>
  </mergeCells>
  <pageMargins left="0.25" right="0.25" top="0.44" bottom="0.45" header="0.3" footer="0.3"/>
  <pageSetup scale="58" orientation="portrait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53E1-D27D-40CC-9AAE-E556CF07EC51}">
  <dimension ref="A1:N36"/>
  <sheetViews>
    <sheetView view="pageBreakPreview" topLeftCell="A4" zoomScaleNormal="100" zoomScaleSheetLayoutView="100" workbookViewId="0">
      <selection activeCell="L39" sqref="L39"/>
    </sheetView>
  </sheetViews>
  <sheetFormatPr defaultColWidth="9.109375" defaultRowHeight="14.4" x14ac:dyDescent="0.3"/>
  <cols>
    <col min="1" max="1" width="14.6640625" style="85" customWidth="1"/>
    <col min="2" max="2" width="12.33203125" style="85" customWidth="1"/>
    <col min="3" max="3" width="23.6640625" style="85" customWidth="1"/>
    <col min="4" max="4" width="12" style="85" customWidth="1"/>
    <col min="5" max="5" width="26.44140625" style="85" bestFit="1" customWidth="1"/>
    <col min="6" max="6" width="16" style="85" customWidth="1"/>
    <col min="7" max="7" width="9" style="85" customWidth="1"/>
    <col min="8" max="8" width="9.33203125" style="85" customWidth="1"/>
    <col min="9" max="9" width="13.44140625" style="85" customWidth="1"/>
    <col min="10" max="10" width="8.5546875" style="85" bestFit="1" customWidth="1"/>
    <col min="11" max="11" width="14.33203125" style="85" bestFit="1" customWidth="1"/>
    <col min="12" max="12" width="14.6640625" style="85" bestFit="1" customWidth="1"/>
    <col min="13" max="13" width="15.6640625" style="85" bestFit="1" customWidth="1"/>
    <col min="14" max="14" width="15.33203125" style="85" bestFit="1" customWidth="1"/>
    <col min="15" max="15" width="10.5546875" style="85" bestFit="1" customWidth="1"/>
    <col min="16" max="16384" width="9.109375" style="85"/>
  </cols>
  <sheetData>
    <row r="1" spans="1:14" ht="15.6" x14ac:dyDescent="0.3">
      <c r="A1" s="257" t="s">
        <v>84</v>
      </c>
      <c r="B1" s="258"/>
      <c r="C1" s="258"/>
      <c r="D1" s="258"/>
      <c r="E1" s="258"/>
      <c r="F1" s="258"/>
      <c r="G1" s="258"/>
      <c r="H1" s="258"/>
      <c r="I1" s="259"/>
    </row>
    <row r="2" spans="1:14" x14ac:dyDescent="0.3">
      <c r="A2" s="214" t="s">
        <v>1</v>
      </c>
      <c r="B2" s="215"/>
      <c r="C2" s="215"/>
      <c r="D2" s="215"/>
      <c r="E2" s="216"/>
      <c r="F2" s="260" t="s">
        <v>2</v>
      </c>
      <c r="G2" s="261"/>
      <c r="H2" s="262"/>
      <c r="I2" s="86" t="s">
        <v>3</v>
      </c>
    </row>
    <row r="3" spans="1:14" x14ac:dyDescent="0.3">
      <c r="A3" s="201" t="s">
        <v>4</v>
      </c>
      <c r="B3" s="202"/>
      <c r="C3" s="202"/>
      <c r="D3" s="202"/>
      <c r="E3" s="203"/>
      <c r="F3" s="220" t="s">
        <v>5</v>
      </c>
      <c r="G3" s="221"/>
      <c r="H3" s="222"/>
      <c r="I3" s="87" t="s">
        <v>6</v>
      </c>
    </row>
    <row r="4" spans="1:14" ht="15" customHeight="1" x14ac:dyDescent="0.3">
      <c r="A4" s="201" t="s">
        <v>7</v>
      </c>
      <c r="B4" s="202"/>
      <c r="C4" s="202"/>
      <c r="D4" s="202"/>
      <c r="E4" s="203"/>
      <c r="F4" s="263"/>
      <c r="G4" s="264"/>
      <c r="H4" s="264"/>
      <c r="I4" s="265"/>
    </row>
    <row r="5" spans="1:14" x14ac:dyDescent="0.3">
      <c r="A5" s="201" t="s">
        <v>8</v>
      </c>
      <c r="B5" s="202"/>
      <c r="C5" s="202"/>
      <c r="D5" s="202"/>
      <c r="E5" s="203"/>
      <c r="F5" s="251" t="s">
        <v>9</v>
      </c>
      <c r="G5" s="251"/>
      <c r="H5" s="251"/>
      <c r="I5" s="88" t="s">
        <v>10</v>
      </c>
    </row>
    <row r="6" spans="1:14" ht="15" customHeight="1" x14ac:dyDescent="0.3">
      <c r="A6" s="201" t="s">
        <v>11</v>
      </c>
      <c r="B6" s="202"/>
      <c r="C6" s="202"/>
      <c r="D6" s="202"/>
      <c r="E6" s="203"/>
      <c r="F6" s="252" t="s">
        <v>12</v>
      </c>
      <c r="G6" s="253"/>
      <c r="H6" s="253"/>
      <c r="I6" s="89">
        <v>87089900</v>
      </c>
    </row>
    <row r="7" spans="1:14" x14ac:dyDescent="0.3">
      <c r="A7" s="254"/>
      <c r="B7" s="255"/>
      <c r="C7" s="255"/>
      <c r="D7" s="255"/>
      <c r="E7" s="256"/>
      <c r="F7" s="90"/>
      <c r="G7" s="91"/>
      <c r="H7" s="91"/>
      <c r="I7" s="92"/>
    </row>
    <row r="8" spans="1:14" x14ac:dyDescent="0.3">
      <c r="A8" s="207" t="s">
        <v>13</v>
      </c>
      <c r="B8" s="208"/>
      <c r="C8" s="208"/>
      <c r="D8" s="208"/>
      <c r="E8" s="208"/>
      <c r="F8" s="209" t="s">
        <v>14</v>
      </c>
      <c r="G8" s="209"/>
      <c r="H8" s="209"/>
      <c r="I8" s="210"/>
    </row>
    <row r="9" spans="1:14" ht="15" customHeight="1" x14ac:dyDescent="0.3">
      <c r="A9" s="187" t="s">
        <v>15</v>
      </c>
      <c r="B9" s="188"/>
      <c r="C9" s="188"/>
      <c r="D9" s="188"/>
      <c r="E9" s="189"/>
      <c r="F9" s="248" t="s">
        <v>15</v>
      </c>
      <c r="G9" s="249"/>
      <c r="H9" s="249"/>
      <c r="I9" s="250"/>
    </row>
    <row r="10" spans="1:14" ht="15" customHeight="1" x14ac:dyDescent="0.3">
      <c r="A10" s="193" t="s">
        <v>16</v>
      </c>
      <c r="B10" s="194"/>
      <c r="C10" s="194"/>
      <c r="D10" s="194"/>
      <c r="E10" s="195"/>
      <c r="F10" s="196" t="s">
        <v>16</v>
      </c>
      <c r="G10" s="194"/>
      <c r="H10" s="194"/>
      <c r="I10" s="197"/>
    </row>
    <row r="11" spans="1:14" ht="15" customHeight="1" x14ac:dyDescent="0.3">
      <c r="A11" s="176" t="s">
        <v>17</v>
      </c>
      <c r="B11" s="177"/>
      <c r="C11" s="177"/>
      <c r="D11" s="177"/>
      <c r="E11" s="198"/>
      <c r="F11" s="199" t="s">
        <v>17</v>
      </c>
      <c r="G11" s="177"/>
      <c r="H11" s="177"/>
      <c r="I11" s="200"/>
    </row>
    <row r="12" spans="1:14" ht="15" customHeight="1" x14ac:dyDescent="0.3">
      <c r="A12" s="176" t="s">
        <v>18</v>
      </c>
      <c r="B12" s="177"/>
      <c r="C12" s="177"/>
      <c r="D12" s="12"/>
      <c r="E12" s="13"/>
      <c r="F12" s="176" t="s">
        <v>18</v>
      </c>
      <c r="G12" s="177"/>
      <c r="H12" s="177"/>
      <c r="I12" s="14"/>
    </row>
    <row r="13" spans="1:14" ht="15" customHeight="1" x14ac:dyDescent="0.3">
      <c r="A13" s="178" t="s">
        <v>19</v>
      </c>
      <c r="B13" s="179"/>
      <c r="C13" s="179"/>
      <c r="D13" s="179"/>
      <c r="E13" s="180"/>
      <c r="F13" s="181" t="s">
        <v>19</v>
      </c>
      <c r="G13" s="179"/>
      <c r="H13" s="179"/>
      <c r="I13" s="182"/>
    </row>
    <row r="14" spans="1:14" s="94" customFormat="1" ht="39.9" customHeight="1" x14ac:dyDescent="0.3">
      <c r="A14" s="168" t="s">
        <v>20</v>
      </c>
      <c r="B14" s="169"/>
      <c r="C14" s="183" t="s">
        <v>21</v>
      </c>
      <c r="D14" s="184"/>
      <c r="E14" s="185"/>
      <c r="F14" s="183" t="s">
        <v>22</v>
      </c>
      <c r="G14" s="184"/>
      <c r="H14" s="184"/>
      <c r="I14" s="186"/>
      <c r="J14" s="93"/>
    </row>
    <row r="15" spans="1:14" s="94" customFormat="1" ht="39.9" customHeight="1" x14ac:dyDescent="0.3">
      <c r="A15" s="168" t="s">
        <v>23</v>
      </c>
      <c r="B15" s="169"/>
      <c r="C15" s="170" t="s">
        <v>24</v>
      </c>
      <c r="D15" s="159"/>
      <c r="E15" s="169"/>
      <c r="F15" s="171" t="s">
        <v>25</v>
      </c>
      <c r="G15" s="172"/>
      <c r="H15" s="172"/>
      <c r="I15" s="173"/>
      <c r="M15" s="95"/>
    </row>
    <row r="16" spans="1:14" s="94" customFormat="1" ht="39.9" customHeight="1" x14ac:dyDescent="0.3">
      <c r="A16" s="174" t="s">
        <v>26</v>
      </c>
      <c r="B16" s="175"/>
      <c r="C16" s="170" t="s">
        <v>27</v>
      </c>
      <c r="D16" s="159"/>
      <c r="E16" s="169"/>
      <c r="F16" s="170" t="s">
        <v>28</v>
      </c>
      <c r="G16" s="159"/>
      <c r="H16" s="159"/>
      <c r="I16" s="160"/>
      <c r="N16" s="96"/>
    </row>
    <row r="17" spans="1:14" s="94" customFormat="1" ht="33.75" customHeight="1" x14ac:dyDescent="0.3">
      <c r="A17" s="156" t="s">
        <v>29</v>
      </c>
      <c r="B17" s="157"/>
      <c r="C17" s="158" t="s">
        <v>30</v>
      </c>
      <c r="D17" s="158"/>
      <c r="E17" s="158"/>
      <c r="F17" s="159" t="s">
        <v>31</v>
      </c>
      <c r="G17" s="159"/>
      <c r="H17" s="159"/>
      <c r="I17" s="160"/>
    </row>
    <row r="18" spans="1:14" s="94" customFormat="1" ht="15.75" customHeight="1" x14ac:dyDescent="0.3">
      <c r="A18" s="241" t="s">
        <v>32</v>
      </c>
      <c r="B18" s="242" t="s">
        <v>33</v>
      </c>
      <c r="C18" s="242" t="s">
        <v>34</v>
      </c>
      <c r="D18" s="243" t="s">
        <v>35</v>
      </c>
      <c r="E18" s="244"/>
      <c r="F18" s="245"/>
      <c r="G18" s="246" t="s">
        <v>36</v>
      </c>
      <c r="H18" s="246" t="s">
        <v>85</v>
      </c>
      <c r="I18" s="247"/>
      <c r="N18" s="98"/>
    </row>
    <row r="19" spans="1:14" s="100" customFormat="1" ht="54.75" customHeight="1" x14ac:dyDescent="0.3">
      <c r="A19" s="241"/>
      <c r="B19" s="242"/>
      <c r="C19" s="242"/>
      <c r="D19" s="97" t="s">
        <v>38</v>
      </c>
      <c r="E19" s="97" t="s">
        <v>39</v>
      </c>
      <c r="F19" s="97" t="s">
        <v>40</v>
      </c>
      <c r="G19" s="246"/>
      <c r="H19" s="97" t="s">
        <v>86</v>
      </c>
      <c r="I19" s="99" t="s">
        <v>87</v>
      </c>
      <c r="N19" s="101"/>
    </row>
    <row r="20" spans="1:14" ht="45" customHeight="1" x14ac:dyDescent="0.3">
      <c r="A20" s="154" t="s">
        <v>43</v>
      </c>
      <c r="B20" s="155"/>
      <c r="C20" s="19" t="s">
        <v>44</v>
      </c>
      <c r="D20" s="22">
        <v>2001104</v>
      </c>
      <c r="E20" s="21" t="s">
        <v>45</v>
      </c>
      <c r="F20" s="21" t="s">
        <v>46</v>
      </c>
      <c r="G20" s="23">
        <v>33600</v>
      </c>
      <c r="H20" s="102">
        <f>G20*0.034</f>
        <v>1142.4000000000001</v>
      </c>
      <c r="I20" s="103">
        <f>H20+J20+M20</f>
        <v>1475.4880000000001</v>
      </c>
      <c r="J20" s="104">
        <f>0.533*336</f>
        <v>179.08800000000002</v>
      </c>
      <c r="K20" s="105"/>
      <c r="L20" s="105"/>
      <c r="M20" s="106">
        <f>22*7</f>
        <v>154</v>
      </c>
      <c r="N20" s="107"/>
    </row>
    <row r="21" spans="1:14" ht="45" customHeight="1" x14ac:dyDescent="0.3">
      <c r="A21" s="154" t="s">
        <v>47</v>
      </c>
      <c r="B21" s="155"/>
      <c r="C21" s="26" t="s">
        <v>48</v>
      </c>
      <c r="D21" s="26">
        <v>2001104</v>
      </c>
      <c r="E21" s="21" t="s">
        <v>49</v>
      </c>
      <c r="F21" s="21" t="s">
        <v>50</v>
      </c>
      <c r="G21" s="27">
        <v>13440</v>
      </c>
      <c r="H21" s="108">
        <f>G21*0.118</f>
        <v>1585.9199999999998</v>
      </c>
      <c r="I21" s="109">
        <f>H21+J21+M21</f>
        <v>1726.3039999999999</v>
      </c>
      <c r="J21" s="110">
        <f>0.377*192</f>
        <v>72.384</v>
      </c>
      <c r="K21" s="111"/>
      <c r="L21" s="111"/>
      <c r="M21" s="106">
        <f>34*2</f>
        <v>68</v>
      </c>
      <c r="N21" s="107"/>
    </row>
    <row r="22" spans="1:14" ht="45" customHeight="1" x14ac:dyDescent="0.3">
      <c r="A22" s="154" t="s">
        <v>51</v>
      </c>
      <c r="B22" s="155"/>
      <c r="C22" s="31" t="s">
        <v>48</v>
      </c>
      <c r="D22" s="26">
        <v>2001104</v>
      </c>
      <c r="E22" s="32" t="s">
        <v>52</v>
      </c>
      <c r="F22" s="32" t="s">
        <v>53</v>
      </c>
      <c r="G22" s="27">
        <v>6720</v>
      </c>
      <c r="H22" s="108">
        <f>G22*0.11</f>
        <v>739.2</v>
      </c>
      <c r="I22" s="109">
        <f>+H22+J22+M22</f>
        <v>809.39200000000005</v>
      </c>
      <c r="J22" s="110">
        <f>0.377*96</f>
        <v>36.192</v>
      </c>
      <c r="K22" s="111"/>
      <c r="L22" s="111"/>
      <c r="M22" s="106">
        <f>34*1</f>
        <v>34</v>
      </c>
      <c r="N22" s="107"/>
    </row>
    <row r="23" spans="1:14" ht="45" customHeight="1" x14ac:dyDescent="0.3">
      <c r="A23" s="154" t="s">
        <v>54</v>
      </c>
      <c r="B23" s="155"/>
      <c r="C23" s="19" t="s">
        <v>55</v>
      </c>
      <c r="D23" s="33" t="s">
        <v>56</v>
      </c>
      <c r="E23" s="34" t="s">
        <v>57</v>
      </c>
      <c r="F23" s="35" t="s">
        <v>58</v>
      </c>
      <c r="G23" s="36">
        <v>6720</v>
      </c>
      <c r="H23" s="108">
        <f>G23*0.125</f>
        <v>840</v>
      </c>
      <c r="I23" s="112">
        <f>H23+J23+M23</f>
        <v>910.19200000000001</v>
      </c>
      <c r="J23" s="104">
        <f>0.377*96</f>
        <v>36.192</v>
      </c>
      <c r="K23" s="105"/>
      <c r="L23" s="113"/>
      <c r="M23" s="106">
        <f t="shared" ref="M23" si="0">34*1</f>
        <v>34</v>
      </c>
      <c r="N23" s="107"/>
    </row>
    <row r="24" spans="1:14" ht="45" customHeight="1" x14ac:dyDescent="0.3">
      <c r="A24" s="154" t="s">
        <v>59</v>
      </c>
      <c r="B24" s="155"/>
      <c r="C24" s="31" t="s">
        <v>48</v>
      </c>
      <c r="D24" s="26">
        <v>2001104</v>
      </c>
      <c r="E24" s="32" t="s">
        <v>52</v>
      </c>
      <c r="F24" s="32" t="s">
        <v>53</v>
      </c>
      <c r="G24" s="27">
        <v>5670</v>
      </c>
      <c r="H24" s="108">
        <f>G24*0.11</f>
        <v>623.70000000000005</v>
      </c>
      <c r="I24" s="240">
        <f>H24+H25+J24+M24</f>
        <v>823.04200000000003</v>
      </c>
      <c r="J24" s="236">
        <f>0.377*96</f>
        <v>36.192</v>
      </c>
      <c r="K24" s="105"/>
      <c r="L24" s="113"/>
      <c r="M24" s="237">
        <f>34*1</f>
        <v>34</v>
      </c>
      <c r="N24" s="107"/>
    </row>
    <row r="25" spans="1:14" ht="45" customHeight="1" x14ac:dyDescent="0.3">
      <c r="A25" s="154"/>
      <c r="B25" s="155"/>
      <c r="C25" s="31" t="s">
        <v>48</v>
      </c>
      <c r="D25" s="26">
        <v>2001104</v>
      </c>
      <c r="E25" s="32" t="s">
        <v>60</v>
      </c>
      <c r="F25" s="32" t="s">
        <v>61</v>
      </c>
      <c r="G25" s="27">
        <v>1050</v>
      </c>
      <c r="H25" s="108">
        <f>G25*0.123</f>
        <v>129.15</v>
      </c>
      <c r="I25" s="240"/>
      <c r="J25" s="236"/>
      <c r="K25" s="111"/>
      <c r="L25" s="111"/>
      <c r="M25" s="237"/>
      <c r="N25" s="107"/>
    </row>
    <row r="26" spans="1:14" ht="45" customHeight="1" x14ac:dyDescent="0.3">
      <c r="A26" s="154" t="s">
        <v>62</v>
      </c>
      <c r="B26" s="155"/>
      <c r="C26" s="31" t="s">
        <v>63</v>
      </c>
      <c r="D26" s="22">
        <v>2001104</v>
      </c>
      <c r="E26" s="32" t="s">
        <v>64</v>
      </c>
      <c r="F26" s="32" t="s">
        <v>65</v>
      </c>
      <c r="G26" s="23">
        <v>50000</v>
      </c>
      <c r="H26" s="114">
        <f>0.00026*G26</f>
        <v>12.999999999999998</v>
      </c>
      <c r="I26" s="112">
        <f>+H26+J26</f>
        <v>13.899999999999999</v>
      </c>
      <c r="J26" s="115">
        <v>0.9</v>
      </c>
      <c r="K26" s="111"/>
      <c r="L26" s="111"/>
      <c r="M26" s="106"/>
      <c r="N26" s="107"/>
    </row>
    <row r="27" spans="1:14" ht="45" customHeight="1" x14ac:dyDescent="0.3">
      <c r="A27" s="20"/>
      <c r="B27" s="21"/>
      <c r="C27" s="31"/>
      <c r="D27" s="26"/>
      <c r="E27" s="32"/>
      <c r="F27" s="32"/>
      <c r="G27" s="27"/>
      <c r="H27" s="108"/>
      <c r="I27" s="109"/>
      <c r="J27" s="104"/>
      <c r="K27" s="111"/>
      <c r="L27" s="111"/>
      <c r="M27" s="106"/>
      <c r="N27" s="107"/>
    </row>
    <row r="28" spans="1:14" ht="26.25" customHeight="1" x14ac:dyDescent="0.3">
      <c r="A28" s="39"/>
      <c r="B28" s="19"/>
      <c r="C28" s="31"/>
      <c r="D28" s="26"/>
      <c r="E28" s="32"/>
      <c r="F28" s="32"/>
      <c r="G28" s="27"/>
      <c r="H28" s="108"/>
      <c r="I28" s="109"/>
      <c r="J28" s="115"/>
      <c r="K28" s="105"/>
      <c r="L28" s="113"/>
      <c r="M28" s="116"/>
      <c r="N28" s="107"/>
    </row>
    <row r="29" spans="1:14" ht="26.25" customHeight="1" x14ac:dyDescent="0.3">
      <c r="A29" s="117"/>
      <c r="B29" s="150" t="s">
        <v>69</v>
      </c>
      <c r="C29" s="150"/>
      <c r="D29" s="118"/>
      <c r="F29" s="119"/>
      <c r="G29" s="120"/>
      <c r="H29" s="102"/>
      <c r="I29" s="121"/>
      <c r="J29" s="47"/>
      <c r="K29" s="105"/>
      <c r="L29" s="113"/>
      <c r="M29" s="116"/>
      <c r="N29" s="107"/>
    </row>
    <row r="30" spans="1:14" ht="25.5" customHeight="1" x14ac:dyDescent="0.3">
      <c r="A30" s="117"/>
      <c r="B30" s="238"/>
      <c r="C30" s="238"/>
      <c r="E30" s="105"/>
      <c r="F30" s="122"/>
      <c r="G30" s="120"/>
      <c r="H30" s="102"/>
      <c r="I30" s="123"/>
      <c r="J30" s="47"/>
      <c r="K30" s="105"/>
      <c r="L30" s="113"/>
      <c r="M30" s="116"/>
      <c r="N30" s="107"/>
    </row>
    <row r="31" spans="1:14" ht="16.5" customHeight="1" x14ac:dyDescent="0.3">
      <c r="A31" s="124"/>
      <c r="B31" s="239" t="s">
        <v>70</v>
      </c>
      <c r="C31" s="239"/>
      <c r="D31" s="239"/>
      <c r="E31" s="125"/>
      <c r="F31" s="126"/>
      <c r="G31" s="127">
        <f>SUM(G20:G30)</f>
        <v>117200</v>
      </c>
      <c r="H31" s="128">
        <f>SUM(H20:H30)</f>
        <v>5073.369999999999</v>
      </c>
      <c r="I31" s="129">
        <f>SUM(I20:I30)</f>
        <v>5758.3180000000002</v>
      </c>
      <c r="K31" s="105"/>
      <c r="L31" s="105"/>
      <c r="M31" s="105"/>
      <c r="N31" s="107"/>
    </row>
    <row r="32" spans="1:14" ht="16.5" customHeight="1" x14ac:dyDescent="0.3">
      <c r="A32" s="226" t="s">
        <v>88</v>
      </c>
      <c r="B32" s="227"/>
      <c r="C32" s="130">
        <f>+H31</f>
        <v>5073.369999999999</v>
      </c>
      <c r="D32" s="131" t="s">
        <v>89</v>
      </c>
      <c r="E32" s="132"/>
      <c r="F32" s="133"/>
      <c r="G32" s="228" t="s">
        <v>90</v>
      </c>
      <c r="H32" s="228"/>
      <c r="I32" s="229"/>
      <c r="K32" s="105"/>
      <c r="L32" s="105"/>
      <c r="M32" s="105"/>
    </row>
    <row r="33" spans="1:9" ht="16.5" customHeight="1" x14ac:dyDescent="0.3">
      <c r="A33" s="226" t="s">
        <v>91</v>
      </c>
      <c r="B33" s="227"/>
      <c r="C33" s="130">
        <f>+I31</f>
        <v>5758.3180000000002</v>
      </c>
      <c r="D33" s="134" t="s">
        <v>89</v>
      </c>
      <c r="E33" s="135"/>
      <c r="F33" s="136"/>
      <c r="G33" s="137"/>
      <c r="I33" s="138"/>
    </row>
    <row r="34" spans="1:9" ht="16.5" customHeight="1" x14ac:dyDescent="0.3">
      <c r="A34" s="230" t="s">
        <v>92</v>
      </c>
      <c r="B34" s="231"/>
      <c r="C34" s="139" t="s">
        <v>93</v>
      </c>
      <c r="D34" s="131"/>
      <c r="E34" s="135"/>
      <c r="F34" s="136"/>
      <c r="G34" s="137"/>
      <c r="I34" s="138"/>
    </row>
    <row r="35" spans="1:9" ht="15" customHeight="1" x14ac:dyDescent="0.3">
      <c r="A35" s="226" t="s">
        <v>94</v>
      </c>
      <c r="B35" s="227"/>
      <c r="C35" s="140" t="s">
        <v>95</v>
      </c>
      <c r="D35" s="141"/>
      <c r="E35" s="142"/>
      <c r="F35" s="136"/>
      <c r="G35" s="137"/>
      <c r="I35" s="138"/>
    </row>
    <row r="36" spans="1:9" ht="15" thickBot="1" x14ac:dyDescent="0.35">
      <c r="A36" s="232" t="s">
        <v>96</v>
      </c>
      <c r="B36" s="233"/>
      <c r="C36" s="143" t="s">
        <v>97</v>
      </c>
      <c r="D36" s="144"/>
      <c r="E36" s="144"/>
      <c r="F36" s="145"/>
      <c r="G36" s="234" t="s">
        <v>83</v>
      </c>
      <c r="H36" s="234"/>
      <c r="I36" s="235"/>
    </row>
  </sheetData>
  <mergeCells count="61">
    <mergeCell ref="A8:E8"/>
    <mergeCell ref="F8:I8"/>
    <mergeCell ref="A1:I1"/>
    <mergeCell ref="A2:E2"/>
    <mergeCell ref="F2:H2"/>
    <mergeCell ref="A3:E3"/>
    <mergeCell ref="F3:H3"/>
    <mergeCell ref="A4:E4"/>
    <mergeCell ref="F4:I4"/>
    <mergeCell ref="A5:E5"/>
    <mergeCell ref="F5:H5"/>
    <mergeCell ref="A6:E6"/>
    <mergeCell ref="F6:H6"/>
    <mergeCell ref="A7:E7"/>
    <mergeCell ref="A9:E9"/>
    <mergeCell ref="F9:I9"/>
    <mergeCell ref="A10:E10"/>
    <mergeCell ref="F10:I10"/>
    <mergeCell ref="A11:E11"/>
    <mergeCell ref="F11:I11"/>
    <mergeCell ref="A12:C12"/>
    <mergeCell ref="F12:H12"/>
    <mergeCell ref="A13:E13"/>
    <mergeCell ref="F13:I13"/>
    <mergeCell ref="A14:B14"/>
    <mergeCell ref="C14:E14"/>
    <mergeCell ref="F14:I14"/>
    <mergeCell ref="A15:B15"/>
    <mergeCell ref="C15:E15"/>
    <mergeCell ref="F15:I15"/>
    <mergeCell ref="A16:B16"/>
    <mergeCell ref="C16:E16"/>
    <mergeCell ref="F16:I16"/>
    <mergeCell ref="A17:B17"/>
    <mergeCell ref="C17:E17"/>
    <mergeCell ref="F17:I17"/>
    <mergeCell ref="A18:A19"/>
    <mergeCell ref="B18:B19"/>
    <mergeCell ref="C18:C19"/>
    <mergeCell ref="D18:F18"/>
    <mergeCell ref="G18:G19"/>
    <mergeCell ref="H18:I18"/>
    <mergeCell ref="A20:B20"/>
    <mergeCell ref="A21:B21"/>
    <mergeCell ref="A22:B22"/>
    <mergeCell ref="A23:B23"/>
    <mergeCell ref="A24:B25"/>
    <mergeCell ref="A36:B36"/>
    <mergeCell ref="G36:I36"/>
    <mergeCell ref="J24:J25"/>
    <mergeCell ref="M24:M25"/>
    <mergeCell ref="A26:B26"/>
    <mergeCell ref="B29:C29"/>
    <mergeCell ref="B30:C30"/>
    <mergeCell ref="B31:D31"/>
    <mergeCell ref="I24:I25"/>
    <mergeCell ref="A32:B32"/>
    <mergeCell ref="G32:I32"/>
    <mergeCell ref="A33:B33"/>
    <mergeCell ref="A34:B34"/>
    <mergeCell ref="A35:B35"/>
  </mergeCells>
  <pageMargins left="0.36" right="0.25" top="0.35" bottom="0.43" header="0.16" footer="0.3"/>
  <pageSetup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EU INV 70</vt:lpstr>
      <vt:lpstr>EU PK 70</vt:lpstr>
      <vt:lpstr>'EU INV 70'!Print_Area</vt:lpstr>
      <vt:lpstr>'EU PK 70'!Print_Area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 | Rikki</dc:creator>
  <cp:lastModifiedBy>HP</cp:lastModifiedBy>
  <dcterms:created xsi:type="dcterms:W3CDTF">2026-08-11T10:15:58Z</dcterms:created>
  <dcterms:modified xsi:type="dcterms:W3CDTF">2026-08-11T18:35:11Z</dcterms:modified>
</cp:coreProperties>
</file>