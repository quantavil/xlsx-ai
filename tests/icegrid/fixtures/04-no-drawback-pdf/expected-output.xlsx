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ORT\eSanchit Export UCS\New folder (3)\"/>
    </mc:Choice>
  </mc:AlternateContent>
  <xr:revisionPtr revIDLastSave="0" documentId="13_ncr:1_{21A012FE-3D82-4E27-9C87-270624EE3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Export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2" i="1"/>
  <c r="AK3" i="1"/>
  <c r="AK4" i="1"/>
  <c r="AK5" i="1"/>
  <c r="AK6" i="1"/>
  <c r="AK2" i="1"/>
  <c r="T3" i="1"/>
  <c r="T4" i="1"/>
  <c r="T5" i="1"/>
  <c r="T6" i="1"/>
  <c r="T2" i="1"/>
  <c r="P3" i="1"/>
  <c r="P4" i="1"/>
  <c r="P5" i="1"/>
  <c r="P6" i="1"/>
  <c r="P2" i="1"/>
  <c r="O3" i="1"/>
  <c r="O4" i="1"/>
  <c r="O5" i="1"/>
  <c r="O6" i="1"/>
  <c r="O2" i="1"/>
</calcChain>
</file>

<file path=xl/sharedStrings.xml><?xml version="1.0" encoding="utf-8"?>
<sst xmlns="http://schemas.openxmlformats.org/spreadsheetml/2006/main" count="122" uniqueCount="59">
  <si>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</si>
  <si>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</si>
  <si>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</si>
  <si>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</si>
  <si>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</si>
  <si>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</si>
  <si>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</si>
  <si>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</si>
  <si>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</si>
  <si>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</si>
  <si>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</si>
  <si>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</si>
  <si>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</si>
  <si>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</si>
  <si>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</si>
  <si>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</si>
  <si>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</si>
  <si>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</si>
  <si>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</si>
  <si>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</si>
  <si>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</si>
  <si>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</si>
  <si>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</si>
  <si>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</si>
  <si>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</si>
  <si>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</si>
  <si>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</si>
  <si>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</si>
  <si>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</si>
  <si>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</si>
  <si>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</si>
  <si>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</si>
  <si>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</si>
  <si>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</si>
  <si>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</si>
  <si>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</si>
  <si>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</si>
  <si>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1</t>
  </si>
  <si>
    <t>GNX200</t>
  </si>
  <si>
    <t>Yes</t>
  </si>
  <si>
    <t>LUT</t>
  </si>
  <si>
    <t>49011010</t>
  </si>
  <si>
    <t>21</t>
  </si>
  <si>
    <t>NOS</t>
  </si>
  <si>
    <t>0</t>
  </si>
  <si>
    <t>NCPTI</t>
  </si>
  <si>
    <t>06</t>
  </si>
  <si>
    <t>75</t>
  </si>
  <si>
    <t>2</t>
  </si>
  <si>
    <t>3</t>
  </si>
  <si>
    <t>4</t>
  </si>
  <si>
    <t>5</t>
  </si>
  <si>
    <t>30744/26-27</t>
  </si>
  <si>
    <t>PRINTED BOOKS: EPISODES IN DISGUISE OF A MARRIAGE</t>
  </si>
  <si>
    <t>PRINTED BOOKS: OCCULT DAVID BOWIE</t>
  </si>
  <si>
    <t>PRINTED BOOKS: SIMPLE EXERCISES TO STIMULATE THE VAGUS NERVE</t>
  </si>
  <si>
    <t>PRINTED BOOKS: WAY OF HERMES</t>
  </si>
  <si>
    <t>PRINTED BOOKS: SOUNDSCAPE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</si>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</sst>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workbookViewId="0"/>
  </sheetViews>
  <sheetFormatPr defaultRowHeight="14.4" x14ac:dyDescent="0.3"/>
  <cols>
    <col min="1" max="1" width="11.21875" customWidth="1"/>
    <col min="2" max="2" width="9.109375" customWidth="1"/>
    <col min="3" max="3" width="12.109375" customWidth="1"/>
    <col min="4" max="4" width="93.21875" customWidth="1"/>
    <col min="5" max="5" width="9.109375" customWidth="1"/>
    <col min="6" max="6" width="11.6640625" customWidth="1"/>
    <col min="7" max="7" width="14.109375" customWidth="1"/>
    <col min="8" max="8" width="11.5546875" customWidth="1"/>
    <col min="9" max="9" width="12.21875" customWidth="1"/>
    <col min="10" max="10" width="19.6640625" customWidth="1"/>
    <col min="11" max="11" width="10.109375" customWidth="1"/>
    <col min="12" max="12" width="21.44140625" customWidth="1"/>
    <col min="13" max="13" width="9.109375" customWidth="1"/>
    <col min="14" max="14" width="12.77734375" customWidth="1"/>
    <col min="15" max="16" width="9.109375" customWidth="1"/>
    <col min="17" max="17" width="9.44140625" customWidth="1"/>
    <col min="18" max="18" width="15.44140625" customWidth="1"/>
    <col min="19" max="20" width="9.109375" customWidth="1"/>
    <col min="21" max="21" width="16.21875" customWidth="1"/>
    <col min="22" max="22" width="9.6640625" customWidth="1"/>
    <col min="23" max="23" width="9.33203125" customWidth="1"/>
    <col min="24" max="24" width="9.21875" customWidth="1"/>
    <col min="25" max="25" width="9.6640625" customWidth="1"/>
    <col min="26" max="26" width="9.88671875" customWidth="1"/>
    <col min="27" max="27" width="14.21875" customWidth="1"/>
    <col min="28" max="28" width="18.5546875" customWidth="1"/>
    <col min="29" max="29" width="9.21875" customWidth="1"/>
    <col min="30" max="30" width="11.21875" customWidth="1"/>
    <col min="31" max="31" width="13" customWidth="1"/>
    <col min="32" max="32" width="14.21875" customWidth="1"/>
    <col min="33" max="33" width="10.44140625" customWidth="1"/>
    <col min="34" max="34" width="13.5546875" customWidth="1"/>
    <col min="35" max="35" width="17" customWidth="1"/>
    <col min="36" max="36" width="9.109375" customWidth="1"/>
    <col min="37" max="37" width="11.44140625" customWidth="1"/>
  </cols>
  <sheetData>
    <row r="1" spans="1:3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 s="3" t="s">
        <v>37</v>
      </c>
      <c r="B2" s="3" t="s">
        <v>37</v>
      </c>
      <c r="C2" s="3" t="s">
        <v>52</v>
      </c>
      <c r="D2" s="3" t="s">
        <v>53</v>
      </c>
      <c r="E2" s="3" t="s">
        <v>38</v>
      </c>
      <c r="F2" s="3"/>
      <c r="G2" s="3"/>
      <c r="H2" s="3"/>
      <c r="I2" s="3" t="s">
        <v>39</v>
      </c>
      <c r="J2" s="3" t="s">
        <v>40</v>
      </c>
      <c r="K2" s="3" t="s">
        <v>41</v>
      </c>
      <c r="L2" s="3" t="s">
        <v>42</v>
      </c>
      <c r="M2" s="3">
        <v>2000</v>
      </c>
      <c r="N2" s="3" t="s">
        <v>43</v>
      </c>
      <c r="O2" s="3">
        <f>M2</f>
        <v>2000</v>
      </c>
      <c r="P2" s="3" t="str">
        <f>N2</f>
        <v>NOS</v>
      </c>
      <c r="Q2" s="3">
        <f>R2/M2</f>
        <v>3.9543249999999999</v>
      </c>
      <c r="R2" s="4">
        <v>7908.65</v>
      </c>
      <c r="S2" s="3" t="s">
        <v>37</v>
      </c>
      <c r="T2" s="3" t="str">
        <f>N2</f>
        <v>NOS</v>
      </c>
      <c r="U2" s="3"/>
      <c r="V2" s="3"/>
      <c r="W2" s="3"/>
      <c r="X2" s="3"/>
      <c r="Y2" s="3"/>
      <c r="Z2" s="3"/>
      <c r="AA2" s="3"/>
      <c r="AB2" s="3" t="s">
        <v>58</v>
      </c>
      <c r="AC2" s="3" t="s">
        <v>45</v>
      </c>
      <c r="AD2" s="3" t="s">
        <v>46</v>
      </c>
      <c r="AE2" s="3" t="s">
        <v>47</v>
      </c>
      <c r="AF2" s="3">
        <v>0</v>
      </c>
      <c r="AG2" s="3" t="s">
        <v>44</v>
      </c>
      <c r="AH2" s="3">
        <v>0</v>
      </c>
      <c r="AI2" s="3"/>
      <c r="AJ2" s="3" t="s">
        <v>39</v>
      </c>
      <c r="AK2" s="3">
        <f>M2</f>
        <v>2000</v>
      </c>
    </row>
    <row r="3" spans="1:37" x14ac:dyDescent="0.3">
      <c r="A3" s="3" t="s">
        <v>37</v>
      </c>
      <c r="B3" s="3" t="s">
        <v>48</v>
      </c>
      <c r="C3" s="3" t="s">
        <v>52</v>
      </c>
      <c r="D3" s="3" t="s">
        <v>54</v>
      </c>
      <c r="E3" s="3" t="s">
        <v>38</v>
      </c>
      <c r="F3" s="3"/>
      <c r="G3" s="3"/>
      <c r="H3" s="3"/>
      <c r="I3" s="3" t="s">
        <v>39</v>
      </c>
      <c r="J3" s="3" t="s">
        <v>40</v>
      </c>
      <c r="K3" s="3" t="s">
        <v>41</v>
      </c>
      <c r="L3" s="3" t="s">
        <v>42</v>
      </c>
      <c r="M3" s="3">
        <v>4160</v>
      </c>
      <c r="N3" s="3" t="s">
        <v>43</v>
      </c>
      <c r="O3" s="3">
        <f t="shared" ref="O3:O6" si="0">M3</f>
        <v>4160</v>
      </c>
      <c r="P3" s="3" t="str">
        <f t="shared" ref="P3:P6" si="1">N3</f>
        <v>NOS</v>
      </c>
      <c r="Q3" s="3">
        <f t="shared" ref="Q3:Q6" si="2">R3/M3</f>
        <v>1.5112980769230768</v>
      </c>
      <c r="R3" s="4">
        <v>6287</v>
      </c>
      <c r="S3" s="3" t="s">
        <v>37</v>
      </c>
      <c r="T3" s="3" t="str">
        <f t="shared" ref="T3:T6" si="3">N3</f>
        <v>NOS</v>
      </c>
      <c r="U3" s="3"/>
      <c r="V3" s="3"/>
      <c r="W3" s="3"/>
      <c r="X3" s="3"/>
      <c r="Y3" s="3"/>
      <c r="Z3" s="3"/>
      <c r="AA3" s="3"/>
      <c r="AB3" s="3" t="s">
        <v>58</v>
      </c>
      <c r="AC3" s="3" t="s">
        <v>45</v>
      </c>
      <c r="AD3" s="3" t="s">
        <v>46</v>
      </c>
      <c r="AE3" s="3" t="s">
        <v>47</v>
      </c>
      <c r="AF3" s="3">
        <v>0</v>
      </c>
      <c r="AG3" s="3" t="s">
        <v>44</v>
      </c>
      <c r="AH3" s="3">
        <v>0</v>
      </c>
      <c r="AI3" s="3"/>
      <c r="AJ3" s="3" t="s">
        <v>39</v>
      </c>
      <c r="AK3" s="3">
        <f t="shared" ref="AK3:AK6" si="4">M3</f>
        <v>4160</v>
      </c>
    </row>
    <row r="4" spans="1:37" x14ac:dyDescent="0.3">
      <c r="A4" s="3" t="s">
        <v>37</v>
      </c>
      <c r="B4" s="3" t="s">
        <v>49</v>
      </c>
      <c r="C4" s="3" t="s">
        <v>52</v>
      </c>
      <c r="D4" s="3" t="s">
        <v>55</v>
      </c>
      <c r="E4" s="3" t="s">
        <v>38</v>
      </c>
      <c r="F4" s="3"/>
      <c r="G4" s="3"/>
      <c r="H4" s="3"/>
      <c r="I4" s="3" t="s">
        <v>39</v>
      </c>
      <c r="J4" s="3" t="s">
        <v>40</v>
      </c>
      <c r="K4" s="3" t="s">
        <v>41</v>
      </c>
      <c r="L4" s="3" t="s">
        <v>42</v>
      </c>
      <c r="M4" s="3">
        <v>1534</v>
      </c>
      <c r="N4" s="3" t="s">
        <v>43</v>
      </c>
      <c r="O4" s="3">
        <f t="shared" si="0"/>
        <v>1534</v>
      </c>
      <c r="P4" s="3" t="str">
        <f t="shared" si="1"/>
        <v>NOS</v>
      </c>
      <c r="Q4" s="3">
        <f t="shared" si="2"/>
        <v>2.8046675358539761</v>
      </c>
      <c r="R4" s="4">
        <v>4302.3599999999997</v>
      </c>
      <c r="S4" s="3" t="s">
        <v>37</v>
      </c>
      <c r="T4" s="3" t="str">
        <f t="shared" si="3"/>
        <v>NOS</v>
      </c>
      <c r="U4" s="3"/>
      <c r="V4" s="3"/>
      <c r="W4" s="3"/>
      <c r="X4" s="3"/>
      <c r="Y4" s="3"/>
      <c r="Z4" s="3"/>
      <c r="AA4" s="3"/>
      <c r="AB4" s="3" t="s">
        <v>58</v>
      </c>
      <c r="AC4" s="3" t="s">
        <v>45</v>
      </c>
      <c r="AD4" s="3" t="s">
        <v>46</v>
      </c>
      <c r="AE4" s="3" t="s">
        <v>47</v>
      </c>
      <c r="AF4" s="3">
        <v>0</v>
      </c>
      <c r="AG4" s="3" t="s">
        <v>44</v>
      </c>
      <c r="AH4" s="3">
        <v>0</v>
      </c>
      <c r="AI4" s="3"/>
      <c r="AJ4" s="3" t="s">
        <v>39</v>
      </c>
      <c r="AK4" s="3">
        <f t="shared" si="4"/>
        <v>1534</v>
      </c>
    </row>
    <row r="5" spans="1:37" x14ac:dyDescent="0.3">
      <c r="A5" s="3" t="s">
        <v>37</v>
      </c>
      <c r="B5" s="3" t="s">
        <v>50</v>
      </c>
      <c r="C5" s="3" t="s">
        <v>52</v>
      </c>
      <c r="D5" s="3" t="s">
        <v>56</v>
      </c>
      <c r="E5" s="3" t="s">
        <v>38</v>
      </c>
      <c r="F5" s="3"/>
      <c r="G5" s="3"/>
      <c r="H5" s="3"/>
      <c r="I5" s="3" t="s">
        <v>39</v>
      </c>
      <c r="J5" s="3" t="s">
        <v>40</v>
      </c>
      <c r="K5" s="3" t="s">
        <v>41</v>
      </c>
      <c r="L5" s="3" t="s">
        <v>42</v>
      </c>
      <c r="M5" s="3">
        <v>6560</v>
      </c>
      <c r="N5" s="3" t="s">
        <v>43</v>
      </c>
      <c r="O5" s="3">
        <f t="shared" si="0"/>
        <v>6560</v>
      </c>
      <c r="P5" s="3" t="str">
        <f t="shared" si="1"/>
        <v>NOS</v>
      </c>
      <c r="Q5" s="3">
        <f t="shared" si="2"/>
        <v>0.48486280487804873</v>
      </c>
      <c r="R5" s="4">
        <v>3180.7</v>
      </c>
      <c r="S5" s="3" t="s">
        <v>37</v>
      </c>
      <c r="T5" s="3" t="str">
        <f t="shared" si="3"/>
        <v>NOS</v>
      </c>
      <c r="U5" s="3"/>
      <c r="V5" s="3"/>
      <c r="W5" s="3"/>
      <c r="X5" s="3"/>
      <c r="Y5" s="3"/>
      <c r="Z5" s="3"/>
      <c r="AA5" s="3"/>
      <c r="AB5" s="3" t="s">
        <v>58</v>
      </c>
      <c r="AC5" s="3" t="s">
        <v>45</v>
      </c>
      <c r="AD5" s="3" t="s">
        <v>46</v>
      </c>
      <c r="AE5" s="3" t="s">
        <v>47</v>
      </c>
      <c r="AF5" s="3">
        <v>0</v>
      </c>
      <c r="AG5" s="3" t="s">
        <v>44</v>
      </c>
      <c r="AH5" s="3">
        <v>0</v>
      </c>
      <c r="AI5" s="3"/>
      <c r="AJ5" s="3" t="s">
        <v>39</v>
      </c>
      <c r="AK5" s="3">
        <f t="shared" si="4"/>
        <v>6560</v>
      </c>
    </row>
    <row r="6" spans="1:37" x14ac:dyDescent="0.3">
      <c r="A6" s="3" t="s">
        <v>37</v>
      </c>
      <c r="B6" s="3" t="s">
        <v>51</v>
      </c>
      <c r="C6" s="3" t="s">
        <v>52</v>
      </c>
      <c r="D6" s="3" t="s">
        <v>57</v>
      </c>
      <c r="E6" s="3" t="s">
        <v>38</v>
      </c>
      <c r="F6" s="3"/>
      <c r="G6" s="3"/>
      <c r="H6" s="3"/>
      <c r="I6" s="3" t="s">
        <v>39</v>
      </c>
      <c r="J6" s="3" t="s">
        <v>40</v>
      </c>
      <c r="K6" s="3" t="s">
        <v>41</v>
      </c>
      <c r="L6" s="3" t="s">
        <v>42</v>
      </c>
      <c r="M6" s="3">
        <v>736</v>
      </c>
      <c r="N6" s="3" t="s">
        <v>43</v>
      </c>
      <c r="O6" s="3">
        <f t="shared" si="0"/>
        <v>736</v>
      </c>
      <c r="P6" s="3" t="str">
        <f t="shared" si="1"/>
        <v>NOS</v>
      </c>
      <c r="Q6" s="3">
        <f t="shared" si="2"/>
        <v>1.5952853260869566</v>
      </c>
      <c r="R6" s="4">
        <v>1174.1300000000001</v>
      </c>
      <c r="S6" s="3" t="s">
        <v>37</v>
      </c>
      <c r="T6" s="3" t="str">
        <f t="shared" si="3"/>
        <v>NOS</v>
      </c>
      <c r="U6" s="3"/>
      <c r="V6" s="3"/>
      <c r="W6" s="3"/>
      <c r="X6" s="3"/>
      <c r="Y6" s="3"/>
      <c r="Z6" s="3"/>
      <c r="AA6" s="3"/>
      <c r="AB6" s="3" t="s">
        <v>58</v>
      </c>
      <c r="AC6" s="3" t="s">
        <v>45</v>
      </c>
      <c r="AD6" s="3" t="s">
        <v>46</v>
      </c>
      <c r="AE6" s="3" t="s">
        <v>47</v>
      </c>
      <c r="AF6" s="3">
        <v>0</v>
      </c>
      <c r="AG6" s="3" t="s">
        <v>44</v>
      </c>
      <c r="AH6" s="3">
        <v>0</v>
      </c>
      <c r="AI6" s="3"/>
      <c r="AJ6" s="3" t="s">
        <v>39</v>
      </c>
      <c r="AK6" s="3">
        <f t="shared" si="4"/>
        <v>736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ProductExportExcel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2026-08-28T07:32:01Z</dcterms:modified>
</cp:coreProperties>
</file>