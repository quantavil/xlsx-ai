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PORT\eSanchit Export UCS\New folder (3)\"/>
    </mc:Choice>
  </mc:AlternateContent>
  <xr:revisionPtr revIDLastSave="0" documentId="13_ncr:1_{E656E735-A788-413D-9806-0D0452A6C3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ExportExc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3" i="1" l="1"/>
  <c r="AK4" i="1"/>
  <c r="AK5" i="1"/>
  <c r="AK6" i="1"/>
  <c r="AK7" i="1"/>
  <c r="AK8" i="1"/>
  <c r="AK9" i="1"/>
  <c r="AK10" i="1"/>
  <c r="AK11" i="1"/>
  <c r="AK12" i="1"/>
  <c r="R3" i="1"/>
  <c r="T3" i="1"/>
  <c r="V3" i="1"/>
  <c r="X3" i="1"/>
  <c r="R4" i="1"/>
  <c r="T4" i="1"/>
  <c r="V4" i="1"/>
  <c r="X4" i="1"/>
  <c r="R5" i="1"/>
  <c r="T5" i="1"/>
  <c r="V5" i="1"/>
  <c r="X5" i="1"/>
  <c r="R6" i="1"/>
  <c r="T6" i="1"/>
  <c r="V6" i="1"/>
  <c r="X6" i="1"/>
  <c r="R7" i="1"/>
  <c r="T7" i="1"/>
  <c r="V7" i="1"/>
  <c r="X7" i="1"/>
  <c r="R8" i="1"/>
  <c r="T8" i="1"/>
  <c r="V8" i="1"/>
  <c r="X8" i="1"/>
  <c r="R9" i="1"/>
  <c r="T9" i="1"/>
  <c r="V9" i="1"/>
  <c r="X9" i="1"/>
  <c r="R10" i="1"/>
  <c r="T10" i="1"/>
  <c r="V10" i="1"/>
  <c r="X10" i="1"/>
  <c r="R11" i="1"/>
  <c r="T11" i="1"/>
  <c r="V11" i="1"/>
  <c r="X11" i="1"/>
  <c r="R12" i="1"/>
  <c r="T12" i="1"/>
  <c r="V12" i="1"/>
  <c r="X12" i="1"/>
  <c r="AK2" i="1"/>
  <c r="V2" i="1"/>
  <c r="T2" i="1"/>
  <c r="X2" i="1"/>
  <c r="R2" i="1"/>
</calcChain>
</file>

<file path=xl/sharedStrings.xml><?xml version="1.0" encoding="utf-8"?>
<sst xmlns="http://schemas.openxmlformats.org/spreadsheetml/2006/main" count="257" uniqueCount="60">
  <si>
    <t>InvoiceSNo</t>
  </si>
  <si>
    <t>ItemSNo</t>
  </si>
  <si>
    <t>InvoiceNo</t>
  </si>
  <si>
    <t>Description</t>
  </si>
  <si>
    <t>EndUse</t>
  </si>
  <si>
    <t>HAWBL_No</t>
  </si>
  <si>
    <t>Total_Package</t>
  </si>
  <si>
    <t>Accessories</t>
  </si>
  <si>
    <t>RewardItem</t>
  </si>
  <si>
    <t>IGST_PaymentStatus</t>
  </si>
  <si>
    <t>RITCCode</t>
  </si>
  <si>
    <t>ApplicableExpSchemes</t>
  </si>
  <si>
    <t>Quantity</t>
  </si>
  <si>
    <t>QuantityUnit</t>
  </si>
  <si>
    <t>SQCQTY</t>
  </si>
  <si>
    <t>SQCUnit</t>
  </si>
  <si>
    <t>UnitPrice</t>
  </si>
  <si>
    <t>ProductAmount</t>
  </si>
  <si>
    <t>Per</t>
  </si>
  <si>
    <t>PerUnit</t>
  </si>
  <si>
    <t>drawback_schno</t>
  </si>
  <si>
    <t>dbk_qty</t>
  </si>
  <si>
    <t>dbk_rate</t>
  </si>
  <si>
    <t>dbk_unit</t>
  </si>
  <si>
    <t>dbk_desc</t>
  </si>
  <si>
    <t>ROSLRate</t>
  </si>
  <si>
    <t>ROSLCapValue</t>
  </si>
  <si>
    <t>CountryDestination</t>
  </si>
  <si>
    <t>FTACode</t>
  </si>
  <si>
    <t>StateOrigin</t>
  </si>
  <si>
    <t>DistrictOrigin</t>
  </si>
  <si>
    <t>Taxable_Value</t>
  </si>
  <si>
    <t>IGST_Rate</t>
  </si>
  <si>
    <t>IGST_Amount</t>
  </si>
  <si>
    <t>GSTCCessAmount</t>
  </si>
  <si>
    <t>RODTEP</t>
  </si>
  <si>
    <t>RoDTEPQty</t>
  </si>
  <si>
    <t>1</t>
  </si>
  <si>
    <t>SOFT FERRITE CORES</t>
  </si>
  <si>
    <t>GNX100</t>
  </si>
  <si>
    <t>Yes</t>
  </si>
  <si>
    <t>LUT</t>
  </si>
  <si>
    <t>85051110</t>
  </si>
  <si>
    <t>19</t>
  </si>
  <si>
    <t>PCS</t>
  </si>
  <si>
    <t>KGS</t>
  </si>
  <si>
    <t>8505B</t>
  </si>
  <si>
    <t>0</t>
  </si>
  <si>
    <t>02</t>
  </si>
  <si>
    <t>25</t>
  </si>
  <si>
    <t>2</t>
  </si>
  <si>
    <t>NCPTI</t>
  </si>
  <si>
    <t>3</t>
  </si>
  <si>
    <t>4</t>
  </si>
  <si>
    <t>5</t>
  </si>
  <si>
    <t>6</t>
  </si>
  <si>
    <t>4620117</t>
  </si>
  <si>
    <t>4620120</t>
  </si>
  <si>
    <t>4620152</t>
  </si>
  <si>
    <t>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</si>
</sst>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name val="Calibri"/>
    </font>
    <font>
      <b/>
      <sz val="11"/>
      <color rgb="FFFF0000"/>
      <name val="Calibri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49" fontId="0" fillId="0" borderId="1" xfId="0" applyNumberFormat="1" applyBorder="1"/>
    <xf numFmtId="4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2"/>
  <sheetViews>
    <sheetView tabSelected="1" workbookViewId="0">
      <selection activeCell="A2" sqref="A2"/>
    </sheetView>
  </sheetViews>
  <sheetFormatPr defaultRowHeight="14.4" x14ac:dyDescent="0.3"/>
  <cols>
    <col min="1" max="1" width="11.21875" customWidth="1"/>
    <col min="2" max="2" width="9.109375" customWidth="1"/>
    <col min="3" max="3" width="10.21875" customWidth="1"/>
    <col min="4" max="4" width="19.6640625" customWidth="1"/>
    <col min="5" max="5" width="9.109375" customWidth="1"/>
    <col min="6" max="6" width="11.6640625" customWidth="1"/>
    <col min="7" max="7" width="14.109375" customWidth="1"/>
    <col min="8" max="8" width="11.5546875" customWidth="1"/>
    <col min="9" max="9" width="12.21875" customWidth="1"/>
    <col min="10" max="10" width="19.6640625" customWidth="1"/>
    <col min="11" max="11" width="10.109375" customWidth="1"/>
    <col min="12" max="12" width="21.44140625" customWidth="1"/>
    <col min="13" max="13" width="9.109375" customWidth="1"/>
    <col min="14" max="14" width="12.77734375" customWidth="1"/>
    <col min="15" max="16" width="9.109375" customWidth="1"/>
    <col min="17" max="17" width="9.44140625" customWidth="1"/>
    <col min="18" max="18" width="15.44140625" customWidth="1"/>
    <col min="19" max="20" width="9.109375" customWidth="1"/>
    <col min="21" max="21" width="16.21875" customWidth="1"/>
    <col min="22" max="22" width="10.6640625" customWidth="1"/>
    <col min="23" max="23" width="9.33203125" customWidth="1"/>
    <col min="24" max="24" width="9.21875" customWidth="1"/>
    <col min="25" max="25" width="20.77734375" customWidth="1"/>
    <col min="26" max="26" width="9.88671875" customWidth="1"/>
    <col min="27" max="27" width="14.21875" customWidth="1"/>
    <col min="28" max="28" width="18.5546875" customWidth="1"/>
    <col min="29" max="29" width="9.21875" customWidth="1"/>
    <col min="30" max="30" width="11.21875" customWidth="1"/>
    <col min="31" max="31" width="13" customWidth="1"/>
    <col min="32" max="32" width="14.21875" customWidth="1"/>
    <col min="33" max="33" width="10.44140625" customWidth="1"/>
    <col min="34" max="34" width="13.5546875" customWidth="1"/>
    <col min="35" max="35" width="17" customWidth="1"/>
    <col min="36" max="36" width="9.109375" customWidth="1"/>
    <col min="37" max="37" width="11.44140625" customWidth="1"/>
  </cols>
  <sheetData>
    <row r="1" spans="1:37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 x14ac:dyDescent="0.3">
      <c r="A2" s="5" t="s">
        <v>37</v>
      </c>
      <c r="B2" s="5" t="s">
        <v>37</v>
      </c>
      <c r="C2" s="6" t="s">
        <v>56</v>
      </c>
      <c r="D2" s="3" t="s">
        <v>38</v>
      </c>
      <c r="E2" s="3" t="s">
        <v>39</v>
      </c>
      <c r="F2" s="3"/>
      <c r="G2" s="3"/>
      <c r="H2" s="3"/>
      <c r="I2" s="3" t="s">
        <v>40</v>
      </c>
      <c r="J2" s="3" t="s">
        <v>41</v>
      </c>
      <c r="K2" s="3" t="s">
        <v>42</v>
      </c>
      <c r="L2" s="3" t="s">
        <v>43</v>
      </c>
      <c r="M2" s="3">
        <v>300</v>
      </c>
      <c r="N2" s="3" t="s">
        <v>44</v>
      </c>
      <c r="O2" s="3">
        <v>60</v>
      </c>
      <c r="P2" s="3" t="s">
        <v>45</v>
      </c>
      <c r="Q2" s="3">
        <v>1.66</v>
      </c>
      <c r="R2" s="3">
        <f>M2*Q2</f>
        <v>498</v>
      </c>
      <c r="S2" s="3" t="s">
        <v>37</v>
      </c>
      <c r="T2" s="3" t="str">
        <f>N2</f>
        <v>PCS</v>
      </c>
      <c r="U2" s="3" t="s">
        <v>46</v>
      </c>
      <c r="V2" s="4">
        <f>M2</f>
        <v>300</v>
      </c>
      <c r="W2" s="3">
        <v>1.7</v>
      </c>
      <c r="X2" s="3" t="str">
        <f>N2</f>
        <v>PCS</v>
      </c>
      <c r="Y2" s="3"/>
      <c r="Z2" s="3" t="s">
        <v>47</v>
      </c>
      <c r="AA2" s="3"/>
      <c r="AB2" s="3" t="s">
        <v>59</v>
      </c>
      <c r="AC2" s="3" t="s">
        <v>51</v>
      </c>
      <c r="AD2" s="3" t="s">
        <v>48</v>
      </c>
      <c r="AE2" s="3" t="s">
        <v>49</v>
      </c>
      <c r="AF2" s="3">
        <v>0</v>
      </c>
      <c r="AG2" s="3" t="s">
        <v>47</v>
      </c>
      <c r="AH2" s="3">
        <v>0</v>
      </c>
      <c r="AI2" s="3"/>
      <c r="AJ2" s="3" t="s">
        <v>40</v>
      </c>
      <c r="AK2" s="3">
        <f>O2</f>
        <v>60</v>
      </c>
    </row>
    <row r="3" spans="1:37" x14ac:dyDescent="0.3">
      <c r="A3" s="5" t="s">
        <v>37</v>
      </c>
      <c r="B3" s="5" t="s">
        <v>50</v>
      </c>
      <c r="C3" s="6" t="s">
        <v>56</v>
      </c>
      <c r="D3" s="3" t="s">
        <v>38</v>
      </c>
      <c r="E3" s="3" t="s">
        <v>39</v>
      </c>
      <c r="F3" s="3"/>
      <c r="G3" s="3"/>
      <c r="H3" s="3"/>
      <c r="I3" s="3" t="s">
        <v>40</v>
      </c>
      <c r="J3" s="3" t="s">
        <v>41</v>
      </c>
      <c r="K3" s="3" t="s">
        <v>42</v>
      </c>
      <c r="L3" s="3" t="s">
        <v>43</v>
      </c>
      <c r="M3" s="3">
        <v>864</v>
      </c>
      <c r="N3" s="3" t="s">
        <v>44</v>
      </c>
      <c r="O3" s="3">
        <v>56</v>
      </c>
      <c r="P3" s="3" t="s">
        <v>45</v>
      </c>
      <c r="Q3" s="3">
        <v>1.01</v>
      </c>
      <c r="R3" s="3">
        <f t="shared" ref="R3:R12" si="0">M3*Q3</f>
        <v>872.64</v>
      </c>
      <c r="S3" s="3" t="s">
        <v>37</v>
      </c>
      <c r="T3" s="3" t="str">
        <f t="shared" ref="T3:T12" si="1">N3</f>
        <v>PCS</v>
      </c>
      <c r="U3" s="3" t="s">
        <v>46</v>
      </c>
      <c r="V3" s="4">
        <f t="shared" ref="V3:V12" si="2">M3</f>
        <v>864</v>
      </c>
      <c r="W3" s="3">
        <v>1.7</v>
      </c>
      <c r="X3" s="3" t="str">
        <f t="shared" ref="X3:X12" si="3">N3</f>
        <v>PCS</v>
      </c>
      <c r="Y3" s="3"/>
      <c r="Z3" s="3" t="s">
        <v>47</v>
      </c>
      <c r="AA3" s="3"/>
      <c r="AB3" s="3" t="s">
        <v>59</v>
      </c>
      <c r="AC3" s="3" t="s">
        <v>51</v>
      </c>
      <c r="AD3" s="3" t="s">
        <v>48</v>
      </c>
      <c r="AE3" s="3" t="s">
        <v>49</v>
      </c>
      <c r="AF3" s="3">
        <v>0</v>
      </c>
      <c r="AG3" s="3" t="s">
        <v>47</v>
      </c>
      <c r="AH3" s="3">
        <v>0</v>
      </c>
      <c r="AI3" s="3"/>
      <c r="AJ3" s="3" t="s">
        <v>40</v>
      </c>
      <c r="AK3" s="3">
        <f t="shared" ref="AK3:AK12" si="4">O3</f>
        <v>56</v>
      </c>
    </row>
    <row r="4" spans="1:37" x14ac:dyDescent="0.3">
      <c r="A4" s="5" t="s">
        <v>37</v>
      </c>
      <c r="B4" s="5" t="s">
        <v>52</v>
      </c>
      <c r="C4" s="6" t="s">
        <v>56</v>
      </c>
      <c r="D4" s="3" t="s">
        <v>38</v>
      </c>
      <c r="E4" s="3" t="s">
        <v>39</v>
      </c>
      <c r="F4" s="3"/>
      <c r="G4" s="3"/>
      <c r="H4" s="3"/>
      <c r="I4" s="3" t="s">
        <v>40</v>
      </c>
      <c r="J4" s="3" t="s">
        <v>41</v>
      </c>
      <c r="K4" s="3" t="s">
        <v>42</v>
      </c>
      <c r="L4" s="3" t="s">
        <v>43</v>
      </c>
      <c r="M4" s="3">
        <v>300</v>
      </c>
      <c r="N4" s="3" t="s">
        <v>44</v>
      </c>
      <c r="O4" s="3">
        <v>114</v>
      </c>
      <c r="P4" s="3" t="s">
        <v>45</v>
      </c>
      <c r="Q4" s="3">
        <v>2.68</v>
      </c>
      <c r="R4" s="3">
        <f t="shared" si="0"/>
        <v>804</v>
      </c>
      <c r="S4" s="3" t="s">
        <v>37</v>
      </c>
      <c r="T4" s="3" t="str">
        <f t="shared" si="1"/>
        <v>PCS</v>
      </c>
      <c r="U4" s="3" t="s">
        <v>46</v>
      </c>
      <c r="V4" s="4">
        <f t="shared" si="2"/>
        <v>300</v>
      </c>
      <c r="W4" s="3">
        <v>1.7</v>
      </c>
      <c r="X4" s="3" t="str">
        <f t="shared" si="3"/>
        <v>PCS</v>
      </c>
      <c r="Y4" s="3"/>
      <c r="Z4" s="3" t="s">
        <v>47</v>
      </c>
      <c r="AA4" s="3"/>
      <c r="AB4" s="3" t="s">
        <v>59</v>
      </c>
      <c r="AC4" s="3" t="s">
        <v>51</v>
      </c>
      <c r="AD4" s="3" t="s">
        <v>48</v>
      </c>
      <c r="AE4" s="3" t="s">
        <v>49</v>
      </c>
      <c r="AF4" s="3">
        <v>0</v>
      </c>
      <c r="AG4" s="3" t="s">
        <v>47</v>
      </c>
      <c r="AH4" s="3">
        <v>0</v>
      </c>
      <c r="AI4" s="3"/>
      <c r="AJ4" s="3" t="s">
        <v>40</v>
      </c>
      <c r="AK4" s="3">
        <f t="shared" si="4"/>
        <v>114</v>
      </c>
    </row>
    <row r="5" spans="1:37" x14ac:dyDescent="0.3">
      <c r="A5" s="5" t="s">
        <v>37</v>
      </c>
      <c r="B5" s="5" t="s">
        <v>53</v>
      </c>
      <c r="C5" s="6" t="s">
        <v>56</v>
      </c>
      <c r="D5" s="3" t="s">
        <v>38</v>
      </c>
      <c r="E5" s="3" t="s">
        <v>39</v>
      </c>
      <c r="F5" s="3"/>
      <c r="G5" s="3"/>
      <c r="H5" s="3"/>
      <c r="I5" s="3" t="s">
        <v>40</v>
      </c>
      <c r="J5" s="3" t="s">
        <v>41</v>
      </c>
      <c r="K5" s="3" t="s">
        <v>42</v>
      </c>
      <c r="L5" s="3" t="s">
        <v>43</v>
      </c>
      <c r="M5" s="3">
        <v>828</v>
      </c>
      <c r="N5" s="3" t="s">
        <v>44</v>
      </c>
      <c r="O5" s="3">
        <v>73</v>
      </c>
      <c r="P5" s="3" t="s">
        <v>45</v>
      </c>
      <c r="Q5" s="3">
        <v>0.46</v>
      </c>
      <c r="R5" s="3">
        <f t="shared" si="0"/>
        <v>380.88</v>
      </c>
      <c r="S5" s="3" t="s">
        <v>37</v>
      </c>
      <c r="T5" s="3" t="str">
        <f t="shared" si="1"/>
        <v>PCS</v>
      </c>
      <c r="U5" s="3" t="s">
        <v>46</v>
      </c>
      <c r="V5" s="4">
        <f t="shared" si="2"/>
        <v>828</v>
      </c>
      <c r="W5" s="3">
        <v>1.7</v>
      </c>
      <c r="X5" s="3" t="str">
        <f t="shared" si="3"/>
        <v>PCS</v>
      </c>
      <c r="Y5" s="3"/>
      <c r="Z5" s="3" t="s">
        <v>47</v>
      </c>
      <c r="AA5" s="3"/>
      <c r="AB5" s="3" t="s">
        <v>59</v>
      </c>
      <c r="AC5" s="3" t="s">
        <v>51</v>
      </c>
      <c r="AD5" s="3" t="s">
        <v>48</v>
      </c>
      <c r="AE5" s="3" t="s">
        <v>49</v>
      </c>
      <c r="AF5" s="3">
        <v>0</v>
      </c>
      <c r="AG5" s="3" t="s">
        <v>47</v>
      </c>
      <c r="AH5" s="3">
        <v>0</v>
      </c>
      <c r="AI5" s="3"/>
      <c r="AJ5" s="3" t="s">
        <v>40</v>
      </c>
      <c r="AK5" s="3">
        <f t="shared" si="4"/>
        <v>73</v>
      </c>
    </row>
    <row r="6" spans="1:37" x14ac:dyDescent="0.3">
      <c r="A6" s="5" t="s">
        <v>37</v>
      </c>
      <c r="B6" s="5" t="s">
        <v>54</v>
      </c>
      <c r="C6" s="6" t="s">
        <v>56</v>
      </c>
      <c r="D6" s="3" t="s">
        <v>38</v>
      </c>
      <c r="E6" s="3" t="s">
        <v>39</v>
      </c>
      <c r="F6" s="3"/>
      <c r="G6" s="3"/>
      <c r="H6" s="3"/>
      <c r="I6" s="3" t="s">
        <v>40</v>
      </c>
      <c r="J6" s="3" t="s">
        <v>41</v>
      </c>
      <c r="K6" s="3" t="s">
        <v>42</v>
      </c>
      <c r="L6" s="3" t="s">
        <v>43</v>
      </c>
      <c r="M6" s="3">
        <v>432</v>
      </c>
      <c r="N6" s="3" t="s">
        <v>44</v>
      </c>
      <c r="O6" s="3">
        <v>108</v>
      </c>
      <c r="P6" s="3" t="s">
        <v>45</v>
      </c>
      <c r="Q6" s="3">
        <v>1.0900000000000001</v>
      </c>
      <c r="R6" s="3">
        <f t="shared" si="0"/>
        <v>470.88000000000005</v>
      </c>
      <c r="S6" s="3" t="s">
        <v>37</v>
      </c>
      <c r="T6" s="3" t="str">
        <f t="shared" si="1"/>
        <v>PCS</v>
      </c>
      <c r="U6" s="3" t="s">
        <v>46</v>
      </c>
      <c r="V6" s="4">
        <f t="shared" si="2"/>
        <v>432</v>
      </c>
      <c r="W6" s="3">
        <v>1.7</v>
      </c>
      <c r="X6" s="3" t="str">
        <f t="shared" si="3"/>
        <v>PCS</v>
      </c>
      <c r="Y6" s="3"/>
      <c r="Z6" s="3" t="s">
        <v>47</v>
      </c>
      <c r="AA6" s="3"/>
      <c r="AB6" s="3" t="s">
        <v>59</v>
      </c>
      <c r="AC6" s="3" t="s">
        <v>51</v>
      </c>
      <c r="AD6" s="3" t="s">
        <v>48</v>
      </c>
      <c r="AE6" s="3" t="s">
        <v>49</v>
      </c>
      <c r="AF6" s="3">
        <v>0</v>
      </c>
      <c r="AG6" s="3" t="s">
        <v>47</v>
      </c>
      <c r="AH6" s="3">
        <v>0</v>
      </c>
      <c r="AI6" s="3"/>
      <c r="AJ6" s="3" t="s">
        <v>40</v>
      </c>
      <c r="AK6" s="3">
        <f t="shared" si="4"/>
        <v>108</v>
      </c>
    </row>
    <row r="7" spans="1:37" x14ac:dyDescent="0.3">
      <c r="A7" s="5" t="s">
        <v>37</v>
      </c>
      <c r="B7" s="5" t="s">
        <v>55</v>
      </c>
      <c r="C7" s="6" t="s">
        <v>56</v>
      </c>
      <c r="D7" s="3" t="s">
        <v>38</v>
      </c>
      <c r="E7" s="3" t="s">
        <v>39</v>
      </c>
      <c r="F7" s="3"/>
      <c r="G7" s="3"/>
      <c r="H7" s="3"/>
      <c r="I7" s="3" t="s">
        <v>40</v>
      </c>
      <c r="J7" s="3" t="s">
        <v>41</v>
      </c>
      <c r="K7" s="3" t="s">
        <v>42</v>
      </c>
      <c r="L7" s="3" t="s">
        <v>43</v>
      </c>
      <c r="M7" s="3">
        <v>800</v>
      </c>
      <c r="N7" s="3" t="s">
        <v>44</v>
      </c>
      <c r="O7" s="3">
        <v>46</v>
      </c>
      <c r="P7" s="3" t="s">
        <v>45</v>
      </c>
      <c r="Q7" s="3">
        <v>0.40500000000000003</v>
      </c>
      <c r="R7" s="3">
        <f t="shared" si="0"/>
        <v>324</v>
      </c>
      <c r="S7" s="3" t="s">
        <v>37</v>
      </c>
      <c r="T7" s="3" t="str">
        <f t="shared" si="1"/>
        <v>PCS</v>
      </c>
      <c r="U7" s="3" t="s">
        <v>46</v>
      </c>
      <c r="V7" s="4">
        <f t="shared" si="2"/>
        <v>800</v>
      </c>
      <c r="W7" s="3">
        <v>1.7</v>
      </c>
      <c r="X7" s="3" t="str">
        <f t="shared" si="3"/>
        <v>PCS</v>
      </c>
      <c r="Y7" s="3"/>
      <c r="Z7" s="3" t="s">
        <v>47</v>
      </c>
      <c r="AA7" s="3"/>
      <c r="AB7" s="3" t="s">
        <v>59</v>
      </c>
      <c r="AC7" s="3" t="s">
        <v>51</v>
      </c>
      <c r="AD7" s="3" t="s">
        <v>48</v>
      </c>
      <c r="AE7" s="3" t="s">
        <v>49</v>
      </c>
      <c r="AF7" s="3">
        <v>0</v>
      </c>
      <c r="AG7" s="3" t="s">
        <v>47</v>
      </c>
      <c r="AH7" s="3">
        <v>0</v>
      </c>
      <c r="AI7" s="3"/>
      <c r="AJ7" s="3" t="s">
        <v>40</v>
      </c>
      <c r="AK7" s="3">
        <f t="shared" si="4"/>
        <v>46</v>
      </c>
    </row>
    <row r="8" spans="1:37" x14ac:dyDescent="0.3">
      <c r="A8" s="5" t="s">
        <v>50</v>
      </c>
      <c r="B8" s="6" t="s">
        <v>37</v>
      </c>
      <c r="C8" s="6" t="s">
        <v>57</v>
      </c>
      <c r="D8" s="3" t="s">
        <v>38</v>
      </c>
      <c r="E8" s="3" t="s">
        <v>39</v>
      </c>
      <c r="F8" s="3"/>
      <c r="G8" s="3"/>
      <c r="H8" s="3"/>
      <c r="I8" s="3" t="s">
        <v>40</v>
      </c>
      <c r="J8" s="3" t="s">
        <v>41</v>
      </c>
      <c r="K8" s="3" t="s">
        <v>42</v>
      </c>
      <c r="L8" s="3" t="s">
        <v>43</v>
      </c>
      <c r="M8" s="3">
        <v>700</v>
      </c>
      <c r="N8" s="3" t="s">
        <v>44</v>
      </c>
      <c r="O8" s="3">
        <v>140</v>
      </c>
      <c r="P8" s="3" t="s">
        <v>45</v>
      </c>
      <c r="Q8" s="3">
        <v>1.66</v>
      </c>
      <c r="R8" s="3">
        <f t="shared" si="0"/>
        <v>1162</v>
      </c>
      <c r="S8" s="3" t="s">
        <v>37</v>
      </c>
      <c r="T8" s="3" t="str">
        <f t="shared" si="1"/>
        <v>PCS</v>
      </c>
      <c r="U8" s="3" t="s">
        <v>46</v>
      </c>
      <c r="V8" s="4">
        <f t="shared" si="2"/>
        <v>700</v>
      </c>
      <c r="W8" s="3">
        <v>1.7</v>
      </c>
      <c r="X8" s="3" t="str">
        <f t="shared" si="3"/>
        <v>PCS</v>
      </c>
      <c r="Y8" s="3"/>
      <c r="Z8" s="3" t="s">
        <v>47</v>
      </c>
      <c r="AA8" s="3"/>
      <c r="AB8" s="3" t="s">
        <v>59</v>
      </c>
      <c r="AC8" s="3" t="s">
        <v>51</v>
      </c>
      <c r="AD8" s="3" t="s">
        <v>48</v>
      </c>
      <c r="AE8" s="3" t="s">
        <v>49</v>
      </c>
      <c r="AF8" s="3">
        <v>0</v>
      </c>
      <c r="AG8" s="3" t="s">
        <v>47</v>
      </c>
      <c r="AH8" s="3">
        <v>0</v>
      </c>
      <c r="AI8" s="3"/>
      <c r="AJ8" s="3" t="s">
        <v>40</v>
      </c>
      <c r="AK8" s="3">
        <f t="shared" si="4"/>
        <v>140</v>
      </c>
    </row>
    <row r="9" spans="1:37" x14ac:dyDescent="0.3">
      <c r="A9" s="5" t="s">
        <v>50</v>
      </c>
      <c r="B9" s="6" t="s">
        <v>50</v>
      </c>
      <c r="C9" s="6" t="s">
        <v>57</v>
      </c>
      <c r="D9" s="3" t="s">
        <v>38</v>
      </c>
      <c r="E9" s="3" t="s">
        <v>39</v>
      </c>
      <c r="F9" s="3"/>
      <c r="G9" s="3"/>
      <c r="H9" s="3"/>
      <c r="I9" s="3" t="s">
        <v>40</v>
      </c>
      <c r="J9" s="3" t="s">
        <v>41</v>
      </c>
      <c r="K9" s="3" t="s">
        <v>42</v>
      </c>
      <c r="L9" s="3" t="s">
        <v>43</v>
      </c>
      <c r="M9" s="3">
        <v>700</v>
      </c>
      <c r="N9" s="3" t="s">
        <v>44</v>
      </c>
      <c r="O9" s="3">
        <v>267</v>
      </c>
      <c r="P9" s="3" t="s">
        <v>45</v>
      </c>
      <c r="Q9" s="3">
        <v>2.68</v>
      </c>
      <c r="R9" s="3">
        <f t="shared" si="0"/>
        <v>1876</v>
      </c>
      <c r="S9" s="3" t="s">
        <v>37</v>
      </c>
      <c r="T9" s="3" t="str">
        <f t="shared" si="1"/>
        <v>PCS</v>
      </c>
      <c r="U9" s="3" t="s">
        <v>46</v>
      </c>
      <c r="V9" s="4">
        <f t="shared" si="2"/>
        <v>700</v>
      </c>
      <c r="W9" s="3">
        <v>1.7</v>
      </c>
      <c r="X9" s="3" t="str">
        <f t="shared" si="3"/>
        <v>PCS</v>
      </c>
      <c r="Y9" s="3"/>
      <c r="Z9" s="3" t="s">
        <v>47</v>
      </c>
      <c r="AA9" s="3"/>
      <c r="AB9" s="3" t="s">
        <v>59</v>
      </c>
      <c r="AC9" s="3" t="s">
        <v>51</v>
      </c>
      <c r="AD9" s="3" t="s">
        <v>48</v>
      </c>
      <c r="AE9" s="3" t="s">
        <v>49</v>
      </c>
      <c r="AF9" s="3">
        <v>0</v>
      </c>
      <c r="AG9" s="3" t="s">
        <v>47</v>
      </c>
      <c r="AH9" s="3">
        <v>0</v>
      </c>
      <c r="AI9" s="3"/>
      <c r="AJ9" s="3" t="s">
        <v>40</v>
      </c>
      <c r="AK9" s="3">
        <f t="shared" si="4"/>
        <v>267</v>
      </c>
    </row>
    <row r="10" spans="1:37" x14ac:dyDescent="0.3">
      <c r="A10" s="5" t="s">
        <v>50</v>
      </c>
      <c r="B10" s="6" t="s">
        <v>52</v>
      </c>
      <c r="C10" s="6" t="s">
        <v>57</v>
      </c>
      <c r="D10" s="3" t="s">
        <v>38</v>
      </c>
      <c r="E10" s="3" t="s">
        <v>39</v>
      </c>
      <c r="F10" s="3"/>
      <c r="G10" s="3"/>
      <c r="H10" s="3"/>
      <c r="I10" s="3" t="s">
        <v>40</v>
      </c>
      <c r="J10" s="3" t="s">
        <v>41</v>
      </c>
      <c r="K10" s="3" t="s">
        <v>42</v>
      </c>
      <c r="L10" s="3" t="s">
        <v>43</v>
      </c>
      <c r="M10" s="3">
        <v>624</v>
      </c>
      <c r="N10" s="3" t="s">
        <v>44</v>
      </c>
      <c r="O10" s="3">
        <v>571</v>
      </c>
      <c r="P10" s="3" t="s">
        <v>45</v>
      </c>
      <c r="Q10" s="3">
        <v>2.6</v>
      </c>
      <c r="R10" s="3">
        <f t="shared" si="0"/>
        <v>1622.4</v>
      </c>
      <c r="S10" s="3" t="s">
        <v>37</v>
      </c>
      <c r="T10" s="3" t="str">
        <f t="shared" si="1"/>
        <v>PCS</v>
      </c>
      <c r="U10" s="3" t="s">
        <v>46</v>
      </c>
      <c r="V10" s="4">
        <f t="shared" si="2"/>
        <v>624</v>
      </c>
      <c r="W10" s="3">
        <v>1.7</v>
      </c>
      <c r="X10" s="3" t="str">
        <f t="shared" si="3"/>
        <v>PCS</v>
      </c>
      <c r="Y10" s="3"/>
      <c r="Z10" s="3" t="s">
        <v>47</v>
      </c>
      <c r="AA10" s="3"/>
      <c r="AB10" s="3" t="s">
        <v>59</v>
      </c>
      <c r="AC10" s="3" t="s">
        <v>51</v>
      </c>
      <c r="AD10" s="3" t="s">
        <v>48</v>
      </c>
      <c r="AE10" s="3" t="s">
        <v>49</v>
      </c>
      <c r="AF10" s="3">
        <v>0</v>
      </c>
      <c r="AG10" s="3" t="s">
        <v>47</v>
      </c>
      <c r="AH10" s="3">
        <v>0</v>
      </c>
      <c r="AI10" s="3"/>
      <c r="AJ10" s="3" t="s">
        <v>40</v>
      </c>
      <c r="AK10" s="3">
        <f t="shared" si="4"/>
        <v>571</v>
      </c>
    </row>
    <row r="11" spans="1:37" x14ac:dyDescent="0.3">
      <c r="A11" s="5" t="s">
        <v>50</v>
      </c>
      <c r="B11" s="6" t="s">
        <v>53</v>
      </c>
      <c r="C11" s="6" t="s">
        <v>57</v>
      </c>
      <c r="D11" s="3" t="s">
        <v>38</v>
      </c>
      <c r="E11" s="3" t="s">
        <v>39</v>
      </c>
      <c r="F11" s="3"/>
      <c r="G11" s="3"/>
      <c r="H11" s="3"/>
      <c r="I11" s="3" t="s">
        <v>40</v>
      </c>
      <c r="J11" s="3" t="s">
        <v>41</v>
      </c>
      <c r="K11" s="3" t="s">
        <v>42</v>
      </c>
      <c r="L11" s="3" t="s">
        <v>43</v>
      </c>
      <c r="M11" s="3">
        <v>212</v>
      </c>
      <c r="N11" s="3" t="s">
        <v>44</v>
      </c>
      <c r="O11" s="3">
        <v>19</v>
      </c>
      <c r="P11" s="3" t="s">
        <v>45</v>
      </c>
      <c r="Q11" s="3">
        <v>0.46</v>
      </c>
      <c r="R11" s="3">
        <f t="shared" si="0"/>
        <v>97.52000000000001</v>
      </c>
      <c r="S11" s="3" t="s">
        <v>37</v>
      </c>
      <c r="T11" s="3" t="str">
        <f t="shared" si="1"/>
        <v>PCS</v>
      </c>
      <c r="U11" s="3" t="s">
        <v>46</v>
      </c>
      <c r="V11" s="4">
        <f t="shared" si="2"/>
        <v>212</v>
      </c>
      <c r="W11" s="3">
        <v>1.7</v>
      </c>
      <c r="X11" s="3" t="str">
        <f t="shared" si="3"/>
        <v>PCS</v>
      </c>
      <c r="Y11" s="3"/>
      <c r="Z11" s="3" t="s">
        <v>47</v>
      </c>
      <c r="AA11" s="3"/>
      <c r="AB11" s="3" t="s">
        <v>59</v>
      </c>
      <c r="AC11" s="3" t="s">
        <v>51</v>
      </c>
      <c r="AD11" s="3" t="s">
        <v>48</v>
      </c>
      <c r="AE11" s="3" t="s">
        <v>49</v>
      </c>
      <c r="AF11" s="3">
        <v>0</v>
      </c>
      <c r="AG11" s="3" t="s">
        <v>47</v>
      </c>
      <c r="AH11" s="3">
        <v>0</v>
      </c>
      <c r="AI11" s="3"/>
      <c r="AJ11" s="3" t="s">
        <v>40</v>
      </c>
      <c r="AK11" s="3">
        <f t="shared" si="4"/>
        <v>19</v>
      </c>
    </row>
    <row r="12" spans="1:37" x14ac:dyDescent="0.3">
      <c r="A12" s="5" t="s">
        <v>52</v>
      </c>
      <c r="B12" s="6" t="s">
        <v>37</v>
      </c>
      <c r="C12" s="6" t="s">
        <v>58</v>
      </c>
      <c r="D12" s="3" t="s">
        <v>38</v>
      </c>
      <c r="E12" s="3" t="s">
        <v>39</v>
      </c>
      <c r="F12" s="3"/>
      <c r="G12" s="3"/>
      <c r="H12" s="3"/>
      <c r="I12" s="3" t="s">
        <v>40</v>
      </c>
      <c r="J12" s="3" t="s">
        <v>41</v>
      </c>
      <c r="K12" s="3" t="s">
        <v>42</v>
      </c>
      <c r="L12" s="3" t="s">
        <v>43</v>
      </c>
      <c r="M12" s="3">
        <v>292</v>
      </c>
      <c r="N12" s="3" t="s">
        <v>44</v>
      </c>
      <c r="O12" s="3">
        <v>83</v>
      </c>
      <c r="P12" s="3" t="s">
        <v>45</v>
      </c>
      <c r="Q12" s="3">
        <v>2.6</v>
      </c>
      <c r="R12" s="3">
        <f t="shared" si="0"/>
        <v>759.2</v>
      </c>
      <c r="S12" s="3" t="s">
        <v>37</v>
      </c>
      <c r="T12" s="3" t="str">
        <f t="shared" si="1"/>
        <v>PCS</v>
      </c>
      <c r="U12" s="3" t="s">
        <v>46</v>
      </c>
      <c r="V12" s="4">
        <f t="shared" si="2"/>
        <v>292</v>
      </c>
      <c r="W12" s="3">
        <v>1.7</v>
      </c>
      <c r="X12" s="3" t="str">
        <f t="shared" si="3"/>
        <v>PCS</v>
      </c>
      <c r="Y12" s="3"/>
      <c r="Z12" s="3" t="s">
        <v>47</v>
      </c>
      <c r="AA12" s="3"/>
      <c r="AB12" s="3" t="s">
        <v>59</v>
      </c>
      <c r="AC12" s="3" t="s">
        <v>51</v>
      </c>
      <c r="AD12" s="3" t="s">
        <v>48</v>
      </c>
      <c r="AE12" s="3" t="s">
        <v>49</v>
      </c>
      <c r="AF12" s="3">
        <v>0</v>
      </c>
      <c r="AG12" s="3" t="s">
        <v>47</v>
      </c>
      <c r="AH12" s="3">
        <v>0</v>
      </c>
      <c r="AI12" s="3"/>
      <c r="AJ12" s="3" t="s">
        <v>40</v>
      </c>
      <c r="AK12" s="3">
        <f t="shared" si="4"/>
        <v>83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ProductExportExcel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2026-08-28T07:31:01Z</dcterms:modified>
</cp:coreProperties>
</file>