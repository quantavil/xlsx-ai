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XPORT\PANGAEA SHIPPING AGENCIES\J S INTERNATIONAL\127\"/>
    </mc:Choice>
  </mc:AlternateContent>
  <xr:revisionPtr revIDLastSave="0" documentId="13_ncr:1_{C416FAEB-FA2C-4E28-8553-BF4520EFA3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Guidelines" sheetId="2" r:id="rId2"/>
  </sheets>
  <definedNames>
    <definedName name="_xlnm._FilterDatabase" localSheetId="0" hidden="1">Sheet1!$A$1:$AK$8</definedName>
    <definedName name="chkReward">Guidelines!$O$3:$O$4</definedName>
    <definedName name="ENDUSE">Guidelines!$L$2:$L$46</definedName>
    <definedName name="exportscheme">Guidelines!$F$1:$F$69</definedName>
    <definedName name="exportschemes">Guidelines!$F$1:$H$54</definedName>
    <definedName name="expscheme">Guidelines!$F$1:$F$54</definedName>
    <definedName name="PAYMNTSTATUS">Guidelines!$N$5:$N$7</definedName>
    <definedName name="UNIT">Guidelines!$B$2:$B$72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O3" i="1"/>
  <c r="AK3" i="1" s="1"/>
  <c r="T3" i="1"/>
  <c r="V3" i="1"/>
  <c r="X3" i="1"/>
  <c r="O4" i="1"/>
  <c r="AK4" i="1" s="1"/>
  <c r="T4" i="1"/>
  <c r="V4" i="1"/>
  <c r="X4" i="1"/>
  <c r="O5" i="1"/>
  <c r="AK5" i="1" s="1"/>
  <c r="T5" i="1"/>
  <c r="V5" i="1"/>
  <c r="X5" i="1"/>
  <c r="O6" i="1"/>
  <c r="AK6" i="1" s="1"/>
  <c r="T6" i="1"/>
  <c r="V6" i="1"/>
  <c r="X6" i="1"/>
  <c r="O7" i="1"/>
  <c r="AK7" i="1" s="1"/>
  <c r="T7" i="1"/>
  <c r="V7" i="1"/>
  <c r="X7" i="1"/>
  <c r="O8" i="1"/>
  <c r="AK8" i="1" s="1"/>
  <c r="T8" i="1"/>
  <c r="V8" i="1"/>
  <c r="X8" i="1"/>
  <c r="O9" i="1"/>
  <c r="AK9" i="1" s="1"/>
  <c r="T9" i="1"/>
  <c r="V9" i="1"/>
  <c r="X9" i="1"/>
  <c r="O10" i="1"/>
  <c r="AK10" i="1" s="1"/>
  <c r="T10" i="1"/>
  <c r="V10" i="1"/>
  <c r="X10" i="1"/>
  <c r="O11" i="1"/>
  <c r="AK11" i="1" s="1"/>
  <c r="T11" i="1"/>
  <c r="V11" i="1"/>
  <c r="X11" i="1"/>
  <c r="O12" i="1"/>
  <c r="AK12" i="1" s="1"/>
  <c r="T12" i="1"/>
  <c r="V12" i="1"/>
  <c r="X12" i="1"/>
  <c r="O13" i="1"/>
  <c r="AK13" i="1" s="1"/>
  <c r="T13" i="1"/>
  <c r="V13" i="1"/>
  <c r="X13" i="1"/>
  <c r="O2" i="1" l="1"/>
  <c r="AK2" i="1" s="1"/>
  <c r="V2" i="1"/>
  <c r="X2" i="1"/>
  <c r="T2" i="1"/>
  <c r="R2" i="1"/>
</calcChain>
</file>

<file path=xl/sharedStrings.xml><?xml version="1.0" encoding="utf-8"?>
<sst xmlns="http://schemas.openxmlformats.org/spreadsheetml/2006/main" count="395" uniqueCount="243">
  <si>
    <t>InvoiceSNo</t>
  </si>
  <si>
    <t>ItemSNo</t>
  </si>
  <si>
    <t>InvoiceNo</t>
  </si>
  <si>
    <t>Description</t>
  </si>
  <si>
    <t>EndUse</t>
  </si>
  <si>
    <t>HAWBL_NO</t>
  </si>
  <si>
    <t>Total_Package</t>
  </si>
  <si>
    <t>Accessories</t>
  </si>
  <si>
    <t>RewardItem</t>
  </si>
  <si>
    <t>IGST_PaymentStatus</t>
  </si>
  <si>
    <t>RITCCode</t>
  </si>
  <si>
    <t>ApplicableExpSchemes</t>
  </si>
  <si>
    <t>Quantity</t>
  </si>
  <si>
    <t>QuantityUnit</t>
  </si>
  <si>
    <t>SQCQTY</t>
  </si>
  <si>
    <t>SQCUnit</t>
  </si>
  <si>
    <t>UnitPrice</t>
  </si>
  <si>
    <t>ProductAmount</t>
  </si>
  <si>
    <t>Per</t>
  </si>
  <si>
    <t>PerUnit</t>
  </si>
  <si>
    <t>drawback_schno</t>
  </si>
  <si>
    <t>dbk_qty</t>
  </si>
  <si>
    <t>dbk_rate</t>
  </si>
  <si>
    <t>dbk_unit</t>
  </si>
  <si>
    <t>dbk_desc</t>
  </si>
  <si>
    <t>ROSLRate</t>
  </si>
  <si>
    <t>ROSLCapValue</t>
  </si>
  <si>
    <t>CountryDestination</t>
  </si>
  <si>
    <t>FTACode</t>
  </si>
  <si>
    <t>StateOrigin</t>
  </si>
  <si>
    <t>DistrictOrigin</t>
  </si>
  <si>
    <t>Taxable_Value</t>
  </si>
  <si>
    <t>IGST_Rate</t>
  </si>
  <si>
    <t>IGST_Amount</t>
  </si>
  <si>
    <t>GSTCCessAmount</t>
  </si>
  <si>
    <t>RODTEP</t>
  </si>
  <si>
    <t>RoDTEPQty</t>
  </si>
  <si>
    <t>GNX100</t>
  </si>
  <si>
    <t>Yes</t>
  </si>
  <si>
    <t>LUT</t>
  </si>
  <si>
    <t>19-Drawback (DBK)</t>
  </si>
  <si>
    <t>PCS</t>
  </si>
  <si>
    <t>NOS</t>
  </si>
  <si>
    <t>940399B</t>
  </si>
  <si>
    <t>NCPTI</t>
  </si>
  <si>
    <t>09</t>
  </si>
  <si>
    <t>171</t>
  </si>
  <si>
    <t>KGS</t>
  </si>
  <si>
    <t xml:space="preserve">00-Free Shipping bill </t>
  </si>
  <si>
    <t>BAG</t>
  </si>
  <si>
    <t>01-Advance Licence with actual user condition</t>
  </si>
  <si>
    <t>DCA100</t>
  </si>
  <si>
    <t>BAL</t>
  </si>
  <si>
    <t>02-Advance licence for intermediate supplies</t>
  </si>
  <si>
    <t>DCH100</t>
  </si>
  <si>
    <t>BDL</t>
  </si>
  <si>
    <t>03-Advance licence</t>
  </si>
  <si>
    <t>DCH300</t>
  </si>
  <si>
    <t>No</t>
  </si>
  <si>
    <t>BGS</t>
  </si>
  <si>
    <t>04-Advance Release order</t>
  </si>
  <si>
    <t>DCH400</t>
  </si>
  <si>
    <t>NA</t>
  </si>
  <si>
    <t>BKL</t>
  </si>
  <si>
    <t>05-Advance Licence for deemed exports</t>
  </si>
  <si>
    <t>DCH800</t>
  </si>
  <si>
    <t>BLK</t>
  </si>
  <si>
    <t>06-DEPB-post exports</t>
  </si>
  <si>
    <t>DCX200</t>
  </si>
  <si>
    <t>P</t>
  </si>
  <si>
    <t>BOU</t>
  </si>
  <si>
    <t>07-DEPB-pre exports</t>
  </si>
  <si>
    <t>DCX900</t>
  </si>
  <si>
    <t>BOX</t>
  </si>
  <si>
    <t>08-Replenishment licence</t>
  </si>
  <si>
    <t>FSA100</t>
  </si>
  <si>
    <t>BRL</t>
  </si>
  <si>
    <t>09-Diamond imprest licence</t>
  </si>
  <si>
    <t>FSA200</t>
  </si>
  <si>
    <t>BTL</t>
  </si>
  <si>
    <t>10-Bulk licence</t>
  </si>
  <si>
    <t>FSA800</t>
  </si>
  <si>
    <t>BUN</t>
  </si>
  <si>
    <t>11-Concessional duty EPCG scheme</t>
  </si>
  <si>
    <t>FSA900</t>
  </si>
  <si>
    <t>CAN</t>
  </si>
  <si>
    <t>12-Zero duty EPCG scheme</t>
  </si>
  <si>
    <t>FSH100</t>
  </si>
  <si>
    <t>CAS</t>
  </si>
  <si>
    <t>13-CCP</t>
  </si>
  <si>
    <t>FSH200</t>
  </si>
  <si>
    <t>CBM</t>
  </si>
  <si>
    <t>14-Import License For Restricted Items Of Imports</t>
  </si>
  <si>
    <t>FSH700</t>
  </si>
  <si>
    <t>CCM</t>
  </si>
  <si>
    <t>15-Special Import licence</t>
  </si>
  <si>
    <t>CFT</t>
  </si>
  <si>
    <t>16-Export licence</t>
  </si>
  <si>
    <t>FSH750</t>
  </si>
  <si>
    <t>CLS</t>
  </si>
  <si>
    <t>17-Advance Licence for annual requirement</t>
  </si>
  <si>
    <t>FSH800</t>
  </si>
  <si>
    <t>CMS</t>
  </si>
  <si>
    <t>18-Duty Free Replenishment Certificate</t>
  </si>
  <si>
    <t>FSH900</t>
  </si>
  <si>
    <t>COL</t>
  </si>
  <si>
    <t>FSH910</t>
  </si>
  <si>
    <t>CON</t>
  </si>
  <si>
    <t>20-Jobbing (JBG)</t>
  </si>
  <si>
    <t>FSH920</t>
  </si>
  <si>
    <t>CRT</t>
  </si>
  <si>
    <t>21-EOU/EPZ/SEZ/EHTP/STP</t>
  </si>
  <si>
    <t>FSH930</t>
  </si>
  <si>
    <t>CSK</t>
  </si>
  <si>
    <t>22-SERVED FROM INDIA SCHEME</t>
  </si>
  <si>
    <t>CTM</t>
  </si>
  <si>
    <t>23-Target Plus Scheme</t>
  </si>
  <si>
    <t>GNX200</t>
  </si>
  <si>
    <t>CTN</t>
  </si>
  <si>
    <t>24-Vishesh Krishi Upaj Yojana</t>
  </si>
  <si>
    <t>GNX300</t>
  </si>
  <si>
    <t>DOZ</t>
  </si>
  <si>
    <t>25-DFCE for Status Holder</t>
  </si>
  <si>
    <t>GNX600</t>
  </si>
  <si>
    <t>DRM</t>
  </si>
  <si>
    <t>26-Duty Free Import Authorisation</t>
  </si>
  <si>
    <t>GNX650</t>
  </si>
  <si>
    <t>FTS</t>
  </si>
  <si>
    <t>27-Focus Market Scheme</t>
  </si>
  <si>
    <t>GNX680</t>
  </si>
  <si>
    <t>GGR</t>
  </si>
  <si>
    <t>28-Focus Product Scheme</t>
  </si>
  <si>
    <t>GNX700</t>
  </si>
  <si>
    <t>GMS</t>
  </si>
  <si>
    <t>29-High-Tech Products Export Promotion Scheme</t>
  </si>
  <si>
    <t>GNX810</t>
  </si>
  <si>
    <t>GRS</t>
  </si>
  <si>
    <t>30-EPCG Duty Based</t>
  </si>
  <si>
    <t>GNX815</t>
  </si>
  <si>
    <t>GYD</t>
  </si>
  <si>
    <t>31-Status Holder Incentive Scheme</t>
  </si>
  <si>
    <t>GNX915</t>
  </si>
  <si>
    <t>JRS</t>
  </si>
  <si>
    <t>35-Incremental Incentivisation Scheme</t>
  </si>
  <si>
    <t>LVA100</t>
  </si>
  <si>
    <t>36-MEIS</t>
  </si>
  <si>
    <t>LVA200</t>
  </si>
  <si>
    <t>KIT</t>
  </si>
  <si>
    <t>36-Merchandise Export Incentive Scheme</t>
  </si>
  <si>
    <t>LVA300</t>
  </si>
  <si>
    <t>KLR</t>
  </si>
  <si>
    <t>37-Service Export Incentive Scheme</t>
  </si>
  <si>
    <t>LVA400</t>
  </si>
  <si>
    <t>KME</t>
  </si>
  <si>
    <t>40-DBK and Advance Licence for annual requirement</t>
  </si>
  <si>
    <t>LVA500</t>
  </si>
  <si>
    <t>LBS</t>
  </si>
  <si>
    <t>41-Drawback and Advance Licence</t>
  </si>
  <si>
    <t>LVA710</t>
  </si>
  <si>
    <t>LOT</t>
  </si>
  <si>
    <t>42-Drawback and DFRC</t>
  </si>
  <si>
    <t>LVA760</t>
  </si>
  <si>
    <t>LTR</t>
  </si>
  <si>
    <t>43-Drawback and zero duty EPCG</t>
  </si>
  <si>
    <t>LVA800</t>
  </si>
  <si>
    <t>MGS</t>
  </si>
  <si>
    <t>44-Drawback and concessional duty EPCG</t>
  </si>
  <si>
    <t>LVA900</t>
  </si>
  <si>
    <t>MLT</t>
  </si>
  <si>
    <t>45-Drawback and Pre export DEPB</t>
  </si>
  <si>
    <t>LVA950</t>
  </si>
  <si>
    <t>MOU</t>
  </si>
  <si>
    <t>46-Drawback and post export DEPB</t>
  </si>
  <si>
    <t>LVP100</t>
  </si>
  <si>
    <t>MTR</t>
  </si>
  <si>
    <t>47-Drawback and JBG</t>
  </si>
  <si>
    <t>LVP400</t>
  </si>
  <si>
    <t>MTS</t>
  </si>
  <si>
    <t>48-Drawback and Diamond Imprest licence</t>
  </si>
  <si>
    <t>LVP500</t>
  </si>
  <si>
    <t>49-Drawback and EOU/EPZ/SEZ</t>
  </si>
  <si>
    <t>LVP730</t>
  </si>
  <si>
    <t>PAC</t>
  </si>
  <si>
    <t>50-EPCG and Advance licence</t>
  </si>
  <si>
    <t>51-EPCG and DFRC</t>
  </si>
  <si>
    <t>PKG</t>
  </si>
  <si>
    <t>52-EPCG and JBG</t>
  </si>
  <si>
    <t>PLT</t>
  </si>
  <si>
    <t>53-EPCG and Diamond imprest Licence</t>
  </si>
  <si>
    <t>PRS</t>
  </si>
  <si>
    <t>54-EPCG and Replenishment Licences</t>
  </si>
  <si>
    <t>QTL</t>
  </si>
  <si>
    <t>55-EPCG and DEPB (Post exports)</t>
  </si>
  <si>
    <t>RLS</t>
  </si>
  <si>
    <t>56-EPCG and Advance Licence for annual requirement</t>
  </si>
  <si>
    <t>56-EPCG and DEPB (Pre-exports)</t>
  </si>
  <si>
    <t>ROL</t>
  </si>
  <si>
    <t>59-EPCG AND DFIA</t>
  </si>
  <si>
    <t>SAC</t>
  </si>
  <si>
    <t>60-Drawback and Rebate of State Levies</t>
  </si>
  <si>
    <t>SET</t>
  </si>
  <si>
    <t>61-EPCG,Drawback and Rebate of State Levies</t>
  </si>
  <si>
    <t>SHT</t>
  </si>
  <si>
    <t>62-Drawback and special DEEC(4.04A)</t>
  </si>
  <si>
    <t>SLB</t>
  </si>
  <si>
    <t>63-EPCG,Drawback and special DEEC(4.04A)</t>
  </si>
  <si>
    <t>SQF</t>
  </si>
  <si>
    <t>64-Drawback,special DEEC(4.04A) and Rebate of State Levis</t>
  </si>
  <si>
    <t>SQM</t>
  </si>
  <si>
    <t>65-EPCG,Drawback "&amp;" special DEEC(4.04A) and Rebate of State Levis</t>
  </si>
  <si>
    <t>SQY</t>
  </si>
  <si>
    <t>71-EPCG, DRAWBACK AND DEEC</t>
  </si>
  <si>
    <t>TBS</t>
  </si>
  <si>
    <t>72-EPCG, DRAWBACK AND DFRC</t>
  </si>
  <si>
    <t>TGM</t>
  </si>
  <si>
    <t>73-EPCG, DRAWBACK AND JOBBING</t>
  </si>
  <si>
    <t>THD</t>
  </si>
  <si>
    <t>74-EPCG, DRAWBACK AND DIAMOND IMPREST LICENCE</t>
  </si>
  <si>
    <t>TIN</t>
  </si>
  <si>
    <t>75-EPCG, DRAWBACK AND DEPB POST EXPORT</t>
  </si>
  <si>
    <t>TON</t>
  </si>
  <si>
    <t>79-EPCG, DRAWBACK AND DFIA</t>
  </si>
  <si>
    <t>TUB</t>
  </si>
  <si>
    <t>98-Free Shipping Bill involving Indian Currency</t>
  </si>
  <si>
    <t>UGS</t>
  </si>
  <si>
    <t>99-NFEI</t>
  </si>
  <si>
    <t>UNT</t>
  </si>
  <si>
    <t>VLS</t>
  </si>
  <si>
    <t>YDS</t>
  </si>
  <si>
    <t>2026-27/127</t>
  </si>
  <si>
    <t>OTHER FURNITURE ARTICLES OF IRON ARTWARE - SIDE TABLE LARGE</t>
  </si>
  <si>
    <t>OTHER FURNITURE ARTICLES OF STAINLESS STEEL ARTWARE - COFFEE TABLE LARGE</t>
  </si>
  <si>
    <t>OTHER FURNITURE ARTICLES OF GLASS ARTWARE - COFFEE TABLE SMALL</t>
  </si>
  <si>
    <t>OTHER FURNITURE ARTICLES OF IRON ARTWARE - COFFEE TABLE SMALL</t>
  </si>
  <si>
    <t>OTHER FURNITURE ARTICLES OF STAINLESS STEEL ARTWARE - CHAIR</t>
  </si>
  <si>
    <t>OTHER FURNITURE ARTICLES OF STAINLESS STEEL ARTWARE - BAR STOOL SMALL - SEAT HEIGHT = 65 CM</t>
  </si>
  <si>
    <t>OTHER FURNITURE ARTICLES OF MANGO WOOD / STAINLESS STEEL ARTWARE - C TABLE</t>
  </si>
  <si>
    <t>OTHER FURNITURE ARTICLES OF STAINLESS STEEL ARTWARE - LEG &amp; STEM PART</t>
  </si>
  <si>
    <t>OTHER FURNITURE ARTICLES OF STAINLESS STEEL / JUTE ARTWARE - BAR STOOL SMALL - SEAT HEIGHT = 65 CM</t>
  </si>
  <si>
    <t>OTHER FURNITURE ARTICLES OF STAINLESS STEEL / JUTE ARTWARE - BAR STOOL LARGE - SEAT HEIGHT = 75 CM</t>
  </si>
  <si>
    <t>OTHER FURNITURE ARTICLES OF STAINLESS STEEL / JUTE ARTWARE - STOOL</t>
  </si>
  <si>
    <t>OTHER FURNITURE ARTICLES OF MARBLE / MANGO WOOD / MDF / IRON ARTWARE - SIDE TABLE LARGE NEW NATURAL MARBLE WITH COLORED WOOD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</si>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</sst>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2" fillId="2" borderId="1" xfId="0" applyFont="1" applyFill="1" applyBorder="1"/>
    <xf numFmtId="2" fontId="2" fillId="2" borderId="1" xfId="0" applyNumberFormat="1" applyFont="1" applyFill="1" applyBorder="1"/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3" borderId="1" xfId="0" applyFont="1" applyFill="1" applyBorder="1"/>
    <xf numFmtId="0" fontId="0" fillId="3" borderId="1" xfId="0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"/>
  <sheetViews>
    <sheetView tabSelected="1" zoomScaleNormal="100" workbookViewId="0"/>
  </sheetViews>
  <sheetFormatPr defaultColWidth="8.77734375" defaultRowHeight="14.4" x14ac:dyDescent="0.3"/>
  <cols>
    <col min="1" max="1" width="11" customWidth="1"/>
    <col min="2" max="2" width="8.77734375" style="1"/>
    <col min="3" max="3" width="12.5546875" customWidth="1"/>
    <col min="4" max="4" width="141.33203125" customWidth="1"/>
    <col min="5" max="5" width="8.21875" customWidth="1"/>
    <col min="6" max="6" width="11.44140625" customWidth="1"/>
    <col min="7" max="7" width="13.77734375" customWidth="1"/>
    <col min="8" max="8" width="11.21875" customWidth="1"/>
    <col min="9" max="9" width="11.77734375" customWidth="1"/>
    <col min="10" max="10" width="19.5546875" customWidth="1"/>
    <col min="11" max="11" width="9.44140625" customWidth="1"/>
    <col min="12" max="12" width="21.77734375" customWidth="1"/>
    <col min="13" max="13" width="8.77734375" style="2"/>
    <col min="14" max="14" width="12.5546875" customWidth="1"/>
    <col min="15" max="15" width="8.5546875" customWidth="1"/>
    <col min="16" max="16" width="8.44140625" customWidth="1"/>
    <col min="17" max="17" width="9.21875" style="3" customWidth="1"/>
    <col min="18" max="18" width="14.44140625" style="2" customWidth="1"/>
    <col min="19" max="19" width="4" customWidth="1"/>
    <col min="20" max="20" width="7.77734375" customWidth="1"/>
    <col min="21" max="21" width="15.77734375" customWidth="1"/>
    <col min="22" max="22" width="8.5546875" customWidth="1"/>
    <col min="26" max="26" width="9.44140625" customWidth="1"/>
    <col min="27" max="27" width="14" customWidth="1"/>
    <col min="28" max="28" width="18.5546875" customWidth="1"/>
    <col min="30" max="30" width="11" customWidth="1"/>
    <col min="31" max="32" width="12.77734375" customWidth="1"/>
    <col min="33" max="33" width="10" customWidth="1"/>
    <col min="34" max="34" width="13.21875" customWidth="1"/>
    <col min="35" max="37" width="16.77734375" customWidth="1"/>
  </cols>
  <sheetData>
    <row r="1" spans="1:3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7" t="s">
        <v>35</v>
      </c>
      <c r="AK1" s="4" t="s">
        <v>36</v>
      </c>
    </row>
    <row r="2" spans="1:37" x14ac:dyDescent="0.3">
      <c r="A2" s="8">
        <v>1</v>
      </c>
      <c r="B2" s="8">
        <v>1</v>
      </c>
      <c r="C2" s="8" t="s">
        <v>229</v>
      </c>
      <c r="D2" s="9" t="s">
        <v>230</v>
      </c>
      <c r="E2" s="9" t="s">
        <v>37</v>
      </c>
      <c r="F2" s="9"/>
      <c r="G2" s="9"/>
      <c r="H2" s="9"/>
      <c r="I2" s="9" t="s">
        <v>38</v>
      </c>
      <c r="J2" s="9" t="s">
        <v>39</v>
      </c>
      <c r="K2" s="8">
        <v>94038900</v>
      </c>
      <c r="L2" s="9" t="s">
        <v>40</v>
      </c>
      <c r="M2" s="9">
        <v>48</v>
      </c>
      <c r="N2" s="9" t="s">
        <v>41</v>
      </c>
      <c r="O2" s="9">
        <f>M2</f>
        <v>48</v>
      </c>
      <c r="P2" s="10" t="s">
        <v>42</v>
      </c>
      <c r="Q2" s="9">
        <v>30</v>
      </c>
      <c r="R2" s="9">
        <f t="shared" ref="R2:R13" si="0">M2*Q2</f>
        <v>1440</v>
      </c>
      <c r="S2" s="9">
        <v>1</v>
      </c>
      <c r="T2" s="9" t="str">
        <f t="shared" ref="T2" si="1">N2</f>
        <v>PCS</v>
      </c>
      <c r="U2" s="10" t="s">
        <v>43</v>
      </c>
      <c r="V2" s="9">
        <f>M2</f>
        <v>48</v>
      </c>
      <c r="W2" s="11">
        <v>1.2</v>
      </c>
      <c r="X2" s="11" t="str">
        <f>N2</f>
        <v>PCS</v>
      </c>
      <c r="Y2" s="9"/>
      <c r="Z2" s="9"/>
      <c r="AA2" s="9"/>
      <c r="AB2" s="8" t="s">
        <v>242</v>
      </c>
      <c r="AC2" s="9" t="s">
        <v>44</v>
      </c>
      <c r="AD2" s="12" t="s">
        <v>45</v>
      </c>
      <c r="AE2" s="12" t="s">
        <v>46</v>
      </c>
      <c r="AF2" s="9">
        <v>0</v>
      </c>
      <c r="AG2" s="8">
        <v>0</v>
      </c>
      <c r="AH2" s="9">
        <v>0</v>
      </c>
      <c r="AI2" s="9"/>
      <c r="AJ2" s="9" t="s">
        <v>38</v>
      </c>
      <c r="AK2" s="9">
        <f t="shared" ref="AK2" si="2">O2</f>
        <v>48</v>
      </c>
    </row>
    <row r="3" spans="1:37" x14ac:dyDescent="0.3">
      <c r="A3" s="8">
        <v>1</v>
      </c>
      <c r="B3" s="8">
        <v>2</v>
      </c>
      <c r="C3" s="8" t="s">
        <v>229</v>
      </c>
      <c r="D3" s="9" t="s">
        <v>241</v>
      </c>
      <c r="E3" s="9" t="s">
        <v>37</v>
      </c>
      <c r="F3" s="9"/>
      <c r="G3" s="9"/>
      <c r="H3" s="9"/>
      <c r="I3" s="9" t="s">
        <v>38</v>
      </c>
      <c r="J3" s="9" t="s">
        <v>39</v>
      </c>
      <c r="K3" s="8">
        <v>94038900</v>
      </c>
      <c r="L3" s="9" t="s">
        <v>40</v>
      </c>
      <c r="M3" s="9">
        <v>48</v>
      </c>
      <c r="N3" s="9" t="s">
        <v>41</v>
      </c>
      <c r="O3" s="9">
        <f t="shared" ref="O3:O13" si="3">M3</f>
        <v>48</v>
      </c>
      <c r="P3" s="10" t="s">
        <v>42</v>
      </c>
      <c r="Q3" s="9">
        <v>35</v>
      </c>
      <c r="R3" s="9">
        <f t="shared" si="0"/>
        <v>1680</v>
      </c>
      <c r="S3" s="9">
        <v>1</v>
      </c>
      <c r="T3" s="9" t="str">
        <f t="shared" ref="T3:T13" si="4">N3</f>
        <v>PCS</v>
      </c>
      <c r="U3" s="10" t="s">
        <v>43</v>
      </c>
      <c r="V3" s="9">
        <f t="shared" ref="V3:V13" si="5">M3</f>
        <v>48</v>
      </c>
      <c r="W3" s="11">
        <v>1.2</v>
      </c>
      <c r="X3" s="11" t="str">
        <f t="shared" ref="X3:X13" si="6">N3</f>
        <v>PCS</v>
      </c>
      <c r="Y3" s="9"/>
      <c r="Z3" s="9"/>
      <c r="AA3" s="9"/>
      <c r="AB3" s="8" t="s">
        <v>242</v>
      </c>
      <c r="AC3" s="9" t="s">
        <v>44</v>
      </c>
      <c r="AD3" s="12" t="s">
        <v>45</v>
      </c>
      <c r="AE3" s="12" t="s">
        <v>46</v>
      </c>
      <c r="AF3" s="9">
        <v>0</v>
      </c>
      <c r="AG3" s="8">
        <v>0</v>
      </c>
      <c r="AH3" s="9">
        <v>0</v>
      </c>
      <c r="AI3" s="9"/>
      <c r="AJ3" s="9" t="s">
        <v>38</v>
      </c>
      <c r="AK3" s="9">
        <f t="shared" ref="AK3:AK13" si="7">O3</f>
        <v>48</v>
      </c>
    </row>
    <row r="4" spans="1:37" x14ac:dyDescent="0.3">
      <c r="A4" s="8">
        <v>1</v>
      </c>
      <c r="B4" s="8">
        <v>3</v>
      </c>
      <c r="C4" s="8" t="s">
        <v>229</v>
      </c>
      <c r="D4" s="9" t="s">
        <v>231</v>
      </c>
      <c r="E4" s="9" t="s">
        <v>37</v>
      </c>
      <c r="F4" s="9"/>
      <c r="G4" s="9"/>
      <c r="H4" s="9"/>
      <c r="I4" s="9" t="s">
        <v>38</v>
      </c>
      <c r="J4" s="9" t="s">
        <v>39</v>
      </c>
      <c r="K4" s="8">
        <v>94038900</v>
      </c>
      <c r="L4" s="9" t="s">
        <v>40</v>
      </c>
      <c r="M4" s="9">
        <v>44</v>
      </c>
      <c r="N4" s="9" t="s">
        <v>41</v>
      </c>
      <c r="O4" s="9">
        <f t="shared" si="3"/>
        <v>44</v>
      </c>
      <c r="P4" s="10" t="s">
        <v>42</v>
      </c>
      <c r="Q4" s="9">
        <v>24</v>
      </c>
      <c r="R4" s="9">
        <f t="shared" si="0"/>
        <v>1056</v>
      </c>
      <c r="S4" s="9">
        <v>1</v>
      </c>
      <c r="T4" s="9" t="str">
        <f t="shared" si="4"/>
        <v>PCS</v>
      </c>
      <c r="U4" s="10" t="s">
        <v>43</v>
      </c>
      <c r="V4" s="9">
        <f t="shared" si="5"/>
        <v>44</v>
      </c>
      <c r="W4" s="11">
        <v>1.2</v>
      </c>
      <c r="X4" s="11" t="str">
        <f t="shared" si="6"/>
        <v>PCS</v>
      </c>
      <c r="Y4" s="9"/>
      <c r="Z4" s="9"/>
      <c r="AA4" s="9"/>
      <c r="AB4" s="8" t="s">
        <v>242</v>
      </c>
      <c r="AC4" s="9" t="s">
        <v>44</v>
      </c>
      <c r="AD4" s="12" t="s">
        <v>45</v>
      </c>
      <c r="AE4" s="12" t="s">
        <v>46</v>
      </c>
      <c r="AF4" s="9">
        <v>0</v>
      </c>
      <c r="AG4" s="8">
        <v>0</v>
      </c>
      <c r="AH4" s="9">
        <v>0</v>
      </c>
      <c r="AI4" s="9"/>
      <c r="AJ4" s="9" t="s">
        <v>38</v>
      </c>
      <c r="AK4" s="9">
        <f t="shared" si="7"/>
        <v>44</v>
      </c>
    </row>
    <row r="5" spans="1:37" x14ac:dyDescent="0.3">
      <c r="A5" s="8">
        <v>1</v>
      </c>
      <c r="B5" s="8">
        <v>4</v>
      </c>
      <c r="C5" s="8" t="s">
        <v>229</v>
      </c>
      <c r="D5" s="9" t="s">
        <v>232</v>
      </c>
      <c r="E5" s="9" t="s">
        <v>37</v>
      </c>
      <c r="F5" s="9"/>
      <c r="G5" s="9"/>
      <c r="H5" s="9"/>
      <c r="I5" s="9" t="s">
        <v>38</v>
      </c>
      <c r="J5" s="9" t="s">
        <v>39</v>
      </c>
      <c r="K5" s="8">
        <v>94038900</v>
      </c>
      <c r="L5" s="9" t="s">
        <v>40</v>
      </c>
      <c r="M5" s="9">
        <v>12</v>
      </c>
      <c r="N5" s="9" t="s">
        <v>41</v>
      </c>
      <c r="O5" s="9">
        <f t="shared" si="3"/>
        <v>12</v>
      </c>
      <c r="P5" s="10" t="s">
        <v>42</v>
      </c>
      <c r="Q5" s="9">
        <v>15</v>
      </c>
      <c r="R5" s="9">
        <f t="shared" si="0"/>
        <v>180</v>
      </c>
      <c r="S5" s="9">
        <v>1</v>
      </c>
      <c r="T5" s="9" t="str">
        <f t="shared" si="4"/>
        <v>PCS</v>
      </c>
      <c r="U5" s="10" t="s">
        <v>43</v>
      </c>
      <c r="V5" s="9">
        <f t="shared" si="5"/>
        <v>12</v>
      </c>
      <c r="W5" s="11">
        <v>1.2</v>
      </c>
      <c r="X5" s="11" t="str">
        <f t="shared" si="6"/>
        <v>PCS</v>
      </c>
      <c r="Y5" s="9"/>
      <c r="Z5" s="9"/>
      <c r="AA5" s="9"/>
      <c r="AB5" s="8" t="s">
        <v>242</v>
      </c>
      <c r="AC5" s="9" t="s">
        <v>44</v>
      </c>
      <c r="AD5" s="12" t="s">
        <v>45</v>
      </c>
      <c r="AE5" s="12" t="s">
        <v>46</v>
      </c>
      <c r="AF5" s="9">
        <v>0</v>
      </c>
      <c r="AG5" s="8">
        <v>0</v>
      </c>
      <c r="AH5" s="9">
        <v>0</v>
      </c>
      <c r="AI5" s="9"/>
      <c r="AJ5" s="9" t="s">
        <v>38</v>
      </c>
      <c r="AK5" s="9">
        <f t="shared" si="7"/>
        <v>12</v>
      </c>
    </row>
    <row r="6" spans="1:37" x14ac:dyDescent="0.3">
      <c r="A6" s="8">
        <v>1</v>
      </c>
      <c r="B6" s="8">
        <v>5</v>
      </c>
      <c r="C6" s="8" t="s">
        <v>229</v>
      </c>
      <c r="D6" s="9" t="s">
        <v>233</v>
      </c>
      <c r="E6" s="9" t="s">
        <v>37</v>
      </c>
      <c r="F6" s="9"/>
      <c r="G6" s="9"/>
      <c r="H6" s="9"/>
      <c r="I6" s="9" t="s">
        <v>38</v>
      </c>
      <c r="J6" s="9" t="s">
        <v>39</v>
      </c>
      <c r="K6" s="8">
        <v>94038900</v>
      </c>
      <c r="L6" s="9" t="s">
        <v>40</v>
      </c>
      <c r="M6" s="9">
        <v>12</v>
      </c>
      <c r="N6" s="9" t="s">
        <v>41</v>
      </c>
      <c r="O6" s="9">
        <f t="shared" si="3"/>
        <v>12</v>
      </c>
      <c r="P6" s="10" t="s">
        <v>42</v>
      </c>
      <c r="Q6" s="9">
        <v>22</v>
      </c>
      <c r="R6" s="9">
        <f t="shared" si="0"/>
        <v>264</v>
      </c>
      <c r="S6" s="9">
        <v>1</v>
      </c>
      <c r="T6" s="9" t="str">
        <f t="shared" si="4"/>
        <v>PCS</v>
      </c>
      <c r="U6" s="10" t="s">
        <v>43</v>
      </c>
      <c r="V6" s="9">
        <f t="shared" si="5"/>
        <v>12</v>
      </c>
      <c r="W6" s="11">
        <v>1.2</v>
      </c>
      <c r="X6" s="11" t="str">
        <f t="shared" si="6"/>
        <v>PCS</v>
      </c>
      <c r="Y6" s="9"/>
      <c r="Z6" s="9"/>
      <c r="AA6" s="9"/>
      <c r="AB6" s="8" t="s">
        <v>242</v>
      </c>
      <c r="AC6" s="9" t="s">
        <v>44</v>
      </c>
      <c r="AD6" s="12" t="s">
        <v>45</v>
      </c>
      <c r="AE6" s="12" t="s">
        <v>46</v>
      </c>
      <c r="AF6" s="9">
        <v>0</v>
      </c>
      <c r="AG6" s="8">
        <v>0</v>
      </c>
      <c r="AH6" s="9">
        <v>0</v>
      </c>
      <c r="AI6" s="9"/>
      <c r="AJ6" s="9" t="s">
        <v>38</v>
      </c>
      <c r="AK6" s="9">
        <f t="shared" si="7"/>
        <v>12</v>
      </c>
    </row>
    <row r="7" spans="1:37" x14ac:dyDescent="0.3">
      <c r="A7" s="8">
        <v>1</v>
      </c>
      <c r="B7" s="8">
        <v>6</v>
      </c>
      <c r="C7" s="8" t="s">
        <v>229</v>
      </c>
      <c r="D7" s="9" t="s">
        <v>234</v>
      </c>
      <c r="E7" s="9" t="s">
        <v>37</v>
      </c>
      <c r="F7" s="9"/>
      <c r="G7" s="9"/>
      <c r="H7" s="9"/>
      <c r="I7" s="9" t="s">
        <v>38</v>
      </c>
      <c r="J7" s="9" t="s">
        <v>39</v>
      </c>
      <c r="K7" s="8">
        <v>94038900</v>
      </c>
      <c r="L7" s="9" t="s">
        <v>40</v>
      </c>
      <c r="M7" s="9">
        <v>70</v>
      </c>
      <c r="N7" s="9" t="s">
        <v>41</v>
      </c>
      <c r="O7" s="9">
        <f t="shared" si="3"/>
        <v>70</v>
      </c>
      <c r="P7" s="10" t="s">
        <v>42</v>
      </c>
      <c r="Q7" s="9">
        <v>40</v>
      </c>
      <c r="R7" s="9">
        <f t="shared" si="0"/>
        <v>2800</v>
      </c>
      <c r="S7" s="9">
        <v>1</v>
      </c>
      <c r="T7" s="9" t="str">
        <f t="shared" si="4"/>
        <v>PCS</v>
      </c>
      <c r="U7" s="10" t="s">
        <v>43</v>
      </c>
      <c r="V7" s="9">
        <f t="shared" si="5"/>
        <v>70</v>
      </c>
      <c r="W7" s="11">
        <v>1.2</v>
      </c>
      <c r="X7" s="11" t="str">
        <f t="shared" si="6"/>
        <v>PCS</v>
      </c>
      <c r="Y7" s="9"/>
      <c r="Z7" s="9"/>
      <c r="AA7" s="9"/>
      <c r="AB7" s="8" t="s">
        <v>242</v>
      </c>
      <c r="AC7" s="9" t="s">
        <v>44</v>
      </c>
      <c r="AD7" s="12" t="s">
        <v>45</v>
      </c>
      <c r="AE7" s="12" t="s">
        <v>46</v>
      </c>
      <c r="AF7" s="9">
        <v>0</v>
      </c>
      <c r="AG7" s="8">
        <v>0</v>
      </c>
      <c r="AH7" s="9">
        <v>0</v>
      </c>
      <c r="AI7" s="9"/>
      <c r="AJ7" s="9" t="s">
        <v>38</v>
      </c>
      <c r="AK7" s="9">
        <f t="shared" si="7"/>
        <v>70</v>
      </c>
    </row>
    <row r="8" spans="1:37" x14ac:dyDescent="0.3">
      <c r="A8" s="8">
        <v>1</v>
      </c>
      <c r="B8" s="8">
        <v>7</v>
      </c>
      <c r="C8" s="8" t="s">
        <v>229</v>
      </c>
      <c r="D8" s="9" t="s">
        <v>235</v>
      </c>
      <c r="E8" s="9" t="s">
        <v>37</v>
      </c>
      <c r="F8" s="9"/>
      <c r="G8" s="9"/>
      <c r="H8" s="9"/>
      <c r="I8" s="9" t="s">
        <v>38</v>
      </c>
      <c r="J8" s="9" t="s">
        <v>39</v>
      </c>
      <c r="K8" s="8">
        <v>94038900</v>
      </c>
      <c r="L8" s="9" t="s">
        <v>40</v>
      </c>
      <c r="M8" s="9">
        <v>65</v>
      </c>
      <c r="N8" s="9" t="s">
        <v>41</v>
      </c>
      <c r="O8" s="9">
        <f t="shared" si="3"/>
        <v>65</v>
      </c>
      <c r="P8" s="10" t="s">
        <v>42</v>
      </c>
      <c r="Q8" s="9">
        <v>40</v>
      </c>
      <c r="R8" s="9">
        <f t="shared" si="0"/>
        <v>2600</v>
      </c>
      <c r="S8" s="9">
        <v>1</v>
      </c>
      <c r="T8" s="9" t="str">
        <f t="shared" si="4"/>
        <v>PCS</v>
      </c>
      <c r="U8" s="10" t="s">
        <v>43</v>
      </c>
      <c r="V8" s="9">
        <f t="shared" si="5"/>
        <v>65</v>
      </c>
      <c r="W8" s="11">
        <v>1.2</v>
      </c>
      <c r="X8" s="11" t="str">
        <f t="shared" si="6"/>
        <v>PCS</v>
      </c>
      <c r="Y8" s="9"/>
      <c r="Z8" s="9"/>
      <c r="AA8" s="9"/>
      <c r="AB8" s="8" t="s">
        <v>242</v>
      </c>
      <c r="AC8" s="9" t="s">
        <v>44</v>
      </c>
      <c r="AD8" s="12" t="s">
        <v>45</v>
      </c>
      <c r="AE8" s="12" t="s">
        <v>46</v>
      </c>
      <c r="AF8" s="9">
        <v>0</v>
      </c>
      <c r="AG8" s="8">
        <v>0</v>
      </c>
      <c r="AH8" s="9">
        <v>0</v>
      </c>
      <c r="AI8" s="9"/>
      <c r="AJ8" s="9" t="s">
        <v>38</v>
      </c>
      <c r="AK8" s="9">
        <f t="shared" si="7"/>
        <v>65</v>
      </c>
    </row>
    <row r="9" spans="1:37" x14ac:dyDescent="0.3">
      <c r="A9" s="8">
        <v>1</v>
      </c>
      <c r="B9" s="8">
        <v>8</v>
      </c>
      <c r="C9" s="8" t="s">
        <v>229</v>
      </c>
      <c r="D9" s="9" t="s">
        <v>236</v>
      </c>
      <c r="E9" s="9" t="s">
        <v>37</v>
      </c>
      <c r="F9" s="9"/>
      <c r="G9" s="9"/>
      <c r="H9" s="9"/>
      <c r="I9" s="9" t="s">
        <v>38</v>
      </c>
      <c r="J9" s="9" t="s">
        <v>39</v>
      </c>
      <c r="K9" s="8">
        <v>94038900</v>
      </c>
      <c r="L9" s="9" t="s">
        <v>40</v>
      </c>
      <c r="M9" s="9">
        <v>50</v>
      </c>
      <c r="N9" s="9" t="s">
        <v>41</v>
      </c>
      <c r="O9" s="9">
        <f t="shared" si="3"/>
        <v>50</v>
      </c>
      <c r="P9" s="10" t="s">
        <v>42</v>
      </c>
      <c r="Q9" s="9">
        <v>34</v>
      </c>
      <c r="R9" s="9">
        <f t="shared" si="0"/>
        <v>1700</v>
      </c>
      <c r="S9" s="9">
        <v>1</v>
      </c>
      <c r="T9" s="9" t="str">
        <f t="shared" si="4"/>
        <v>PCS</v>
      </c>
      <c r="U9" s="10" t="s">
        <v>43</v>
      </c>
      <c r="V9" s="9">
        <f t="shared" si="5"/>
        <v>50</v>
      </c>
      <c r="W9" s="11">
        <v>1.2</v>
      </c>
      <c r="X9" s="11" t="str">
        <f t="shared" si="6"/>
        <v>PCS</v>
      </c>
      <c r="Y9" s="9"/>
      <c r="Z9" s="9"/>
      <c r="AA9" s="9"/>
      <c r="AB9" s="8" t="s">
        <v>242</v>
      </c>
      <c r="AC9" s="9" t="s">
        <v>44</v>
      </c>
      <c r="AD9" s="12" t="s">
        <v>45</v>
      </c>
      <c r="AE9" s="12" t="s">
        <v>46</v>
      </c>
      <c r="AF9" s="9">
        <v>0</v>
      </c>
      <c r="AG9" s="8">
        <v>0</v>
      </c>
      <c r="AH9" s="9">
        <v>0</v>
      </c>
      <c r="AI9" s="9"/>
      <c r="AJ9" s="9" t="s">
        <v>38</v>
      </c>
      <c r="AK9" s="9">
        <f t="shared" si="7"/>
        <v>50</v>
      </c>
    </row>
    <row r="10" spans="1:37" x14ac:dyDescent="0.3">
      <c r="A10" s="8">
        <v>1</v>
      </c>
      <c r="B10" s="8">
        <v>9</v>
      </c>
      <c r="C10" s="8" t="s">
        <v>229</v>
      </c>
      <c r="D10" s="9" t="s">
        <v>237</v>
      </c>
      <c r="E10" s="9" t="s">
        <v>37</v>
      </c>
      <c r="F10" s="9"/>
      <c r="G10" s="9"/>
      <c r="H10" s="9"/>
      <c r="I10" s="9" t="s">
        <v>38</v>
      </c>
      <c r="J10" s="9" t="s">
        <v>39</v>
      </c>
      <c r="K10" s="8">
        <v>94038900</v>
      </c>
      <c r="L10" s="9" t="s">
        <v>40</v>
      </c>
      <c r="M10" s="9">
        <v>11</v>
      </c>
      <c r="N10" s="9" t="s">
        <v>41</v>
      </c>
      <c r="O10" s="9">
        <f t="shared" si="3"/>
        <v>11</v>
      </c>
      <c r="P10" s="10" t="s">
        <v>42</v>
      </c>
      <c r="Q10" s="9">
        <v>27</v>
      </c>
      <c r="R10" s="9">
        <f t="shared" si="0"/>
        <v>297</v>
      </c>
      <c r="S10" s="9">
        <v>1</v>
      </c>
      <c r="T10" s="9" t="str">
        <f t="shared" si="4"/>
        <v>PCS</v>
      </c>
      <c r="U10" s="10" t="s">
        <v>43</v>
      </c>
      <c r="V10" s="9">
        <f t="shared" si="5"/>
        <v>11</v>
      </c>
      <c r="W10" s="11">
        <v>1.2</v>
      </c>
      <c r="X10" s="11" t="str">
        <f t="shared" si="6"/>
        <v>PCS</v>
      </c>
      <c r="Y10" s="9"/>
      <c r="Z10" s="9"/>
      <c r="AA10" s="9"/>
      <c r="AB10" s="8" t="s">
        <v>242</v>
      </c>
      <c r="AC10" s="9" t="s">
        <v>44</v>
      </c>
      <c r="AD10" s="12" t="s">
        <v>45</v>
      </c>
      <c r="AE10" s="12" t="s">
        <v>46</v>
      </c>
      <c r="AF10" s="9">
        <v>0</v>
      </c>
      <c r="AG10" s="8">
        <v>0</v>
      </c>
      <c r="AH10" s="9">
        <v>0</v>
      </c>
      <c r="AI10" s="9"/>
      <c r="AJ10" s="9" t="s">
        <v>38</v>
      </c>
      <c r="AK10" s="9">
        <f t="shared" si="7"/>
        <v>11</v>
      </c>
    </row>
    <row r="11" spans="1:37" x14ac:dyDescent="0.3">
      <c r="A11" s="8">
        <v>1</v>
      </c>
      <c r="B11" s="8">
        <v>10</v>
      </c>
      <c r="C11" s="8" t="s">
        <v>229</v>
      </c>
      <c r="D11" s="9" t="s">
        <v>238</v>
      </c>
      <c r="E11" s="9" t="s">
        <v>37</v>
      </c>
      <c r="F11" s="9"/>
      <c r="G11" s="9"/>
      <c r="H11" s="9"/>
      <c r="I11" s="9" t="s">
        <v>38</v>
      </c>
      <c r="J11" s="9" t="s">
        <v>39</v>
      </c>
      <c r="K11" s="8">
        <v>94038900</v>
      </c>
      <c r="L11" s="9" t="s">
        <v>40</v>
      </c>
      <c r="M11" s="9">
        <v>32</v>
      </c>
      <c r="N11" s="9" t="s">
        <v>41</v>
      </c>
      <c r="O11" s="9">
        <f t="shared" si="3"/>
        <v>32</v>
      </c>
      <c r="P11" s="10" t="s">
        <v>42</v>
      </c>
      <c r="Q11" s="9">
        <v>47</v>
      </c>
      <c r="R11" s="9">
        <f t="shared" si="0"/>
        <v>1504</v>
      </c>
      <c r="S11" s="9">
        <v>1</v>
      </c>
      <c r="T11" s="9" t="str">
        <f t="shared" si="4"/>
        <v>PCS</v>
      </c>
      <c r="U11" s="10" t="s">
        <v>43</v>
      </c>
      <c r="V11" s="9">
        <f t="shared" si="5"/>
        <v>32</v>
      </c>
      <c r="W11" s="11">
        <v>1.2</v>
      </c>
      <c r="X11" s="11" t="str">
        <f t="shared" si="6"/>
        <v>PCS</v>
      </c>
      <c r="Y11" s="9"/>
      <c r="Z11" s="9"/>
      <c r="AA11" s="9"/>
      <c r="AB11" s="8" t="s">
        <v>242</v>
      </c>
      <c r="AC11" s="9" t="s">
        <v>44</v>
      </c>
      <c r="AD11" s="12" t="s">
        <v>45</v>
      </c>
      <c r="AE11" s="12" t="s">
        <v>46</v>
      </c>
      <c r="AF11" s="9">
        <v>0</v>
      </c>
      <c r="AG11" s="8">
        <v>0</v>
      </c>
      <c r="AH11" s="9">
        <v>0</v>
      </c>
      <c r="AI11" s="9"/>
      <c r="AJ11" s="9" t="s">
        <v>38</v>
      </c>
      <c r="AK11" s="9">
        <f t="shared" si="7"/>
        <v>32</v>
      </c>
    </row>
    <row r="12" spans="1:37" x14ac:dyDescent="0.3">
      <c r="A12" s="8">
        <v>1</v>
      </c>
      <c r="B12" s="8">
        <v>11</v>
      </c>
      <c r="C12" s="8" t="s">
        <v>229</v>
      </c>
      <c r="D12" s="9" t="s">
        <v>239</v>
      </c>
      <c r="E12" s="9" t="s">
        <v>37</v>
      </c>
      <c r="F12" s="9"/>
      <c r="G12" s="9"/>
      <c r="H12" s="9"/>
      <c r="I12" s="9" t="s">
        <v>38</v>
      </c>
      <c r="J12" s="9" t="s">
        <v>39</v>
      </c>
      <c r="K12" s="8">
        <v>94038900</v>
      </c>
      <c r="L12" s="9" t="s">
        <v>40</v>
      </c>
      <c r="M12" s="9">
        <v>89</v>
      </c>
      <c r="N12" s="9" t="s">
        <v>41</v>
      </c>
      <c r="O12" s="9">
        <f t="shared" si="3"/>
        <v>89</v>
      </c>
      <c r="P12" s="10" t="s">
        <v>42</v>
      </c>
      <c r="Q12" s="9">
        <v>50</v>
      </c>
      <c r="R12" s="9">
        <f t="shared" si="0"/>
        <v>4450</v>
      </c>
      <c r="S12" s="9">
        <v>1</v>
      </c>
      <c r="T12" s="9" t="str">
        <f t="shared" si="4"/>
        <v>PCS</v>
      </c>
      <c r="U12" s="10" t="s">
        <v>43</v>
      </c>
      <c r="V12" s="9">
        <f t="shared" si="5"/>
        <v>89</v>
      </c>
      <c r="W12" s="11">
        <v>1.2</v>
      </c>
      <c r="X12" s="11" t="str">
        <f t="shared" si="6"/>
        <v>PCS</v>
      </c>
      <c r="Y12" s="9"/>
      <c r="Z12" s="9"/>
      <c r="AA12" s="9"/>
      <c r="AB12" s="8" t="s">
        <v>242</v>
      </c>
      <c r="AC12" s="9" t="s">
        <v>44</v>
      </c>
      <c r="AD12" s="12" t="s">
        <v>45</v>
      </c>
      <c r="AE12" s="12" t="s">
        <v>46</v>
      </c>
      <c r="AF12" s="9">
        <v>0</v>
      </c>
      <c r="AG12" s="8">
        <v>0</v>
      </c>
      <c r="AH12" s="9">
        <v>0</v>
      </c>
      <c r="AI12" s="9"/>
      <c r="AJ12" s="9" t="s">
        <v>38</v>
      </c>
      <c r="AK12" s="9">
        <f t="shared" si="7"/>
        <v>89</v>
      </c>
    </row>
    <row r="13" spans="1:37" x14ac:dyDescent="0.3">
      <c r="A13" s="8">
        <v>1</v>
      </c>
      <c r="B13" s="8">
        <v>12</v>
      </c>
      <c r="C13" s="8" t="s">
        <v>229</v>
      </c>
      <c r="D13" s="9" t="s">
        <v>240</v>
      </c>
      <c r="E13" s="9" t="s">
        <v>37</v>
      </c>
      <c r="F13" s="9"/>
      <c r="G13" s="9"/>
      <c r="H13" s="9"/>
      <c r="I13" s="9" t="s">
        <v>38</v>
      </c>
      <c r="J13" s="9" t="s">
        <v>39</v>
      </c>
      <c r="K13" s="8">
        <v>94038900</v>
      </c>
      <c r="L13" s="9" t="s">
        <v>40</v>
      </c>
      <c r="M13" s="9">
        <v>100</v>
      </c>
      <c r="N13" s="9" t="s">
        <v>41</v>
      </c>
      <c r="O13" s="9">
        <f t="shared" si="3"/>
        <v>100</v>
      </c>
      <c r="P13" s="10" t="s">
        <v>42</v>
      </c>
      <c r="Q13" s="9">
        <v>25</v>
      </c>
      <c r="R13" s="9">
        <f t="shared" si="0"/>
        <v>2500</v>
      </c>
      <c r="S13" s="9">
        <v>1</v>
      </c>
      <c r="T13" s="9" t="str">
        <f t="shared" si="4"/>
        <v>PCS</v>
      </c>
      <c r="U13" s="10" t="s">
        <v>43</v>
      </c>
      <c r="V13" s="9">
        <f t="shared" si="5"/>
        <v>100</v>
      </c>
      <c r="W13" s="11">
        <v>1.2</v>
      </c>
      <c r="X13" s="11" t="str">
        <f t="shared" si="6"/>
        <v>PCS</v>
      </c>
      <c r="Y13" s="9"/>
      <c r="Z13" s="9"/>
      <c r="AA13" s="9"/>
      <c r="AB13" s="8" t="s">
        <v>242</v>
      </c>
      <c r="AC13" s="9" t="s">
        <v>44</v>
      </c>
      <c r="AD13" s="12" t="s">
        <v>45</v>
      </c>
      <c r="AE13" s="12" t="s">
        <v>46</v>
      </c>
      <c r="AF13" s="9">
        <v>0</v>
      </c>
      <c r="AG13" s="8">
        <v>0</v>
      </c>
      <c r="AH13" s="9">
        <v>0</v>
      </c>
      <c r="AI13" s="9"/>
      <c r="AJ13" s="9" t="s">
        <v>38</v>
      </c>
      <c r="AK13" s="9">
        <f t="shared" si="7"/>
        <v>100</v>
      </c>
    </row>
  </sheetData>
  <dataValidations count="5">
    <dataValidation type="list" allowBlank="1" showInputMessage="1" showErrorMessage="1" sqref="E1" xr:uid="{00000000-0002-0000-0000-000000000000}">
      <formula1>ENDUSE</formula1>
      <formula2>0</formula2>
    </dataValidation>
    <dataValidation type="list" allowBlank="1" showInputMessage="1" showErrorMessage="1" sqref="P1 T1:T991 N2:N991" xr:uid="{00000000-0002-0000-0000-000001000000}">
      <formula1>UNIT</formula1>
      <formula2>0</formula2>
    </dataValidation>
    <dataValidation type="list" allowBlank="1" showInputMessage="1" showErrorMessage="1" sqref="L1:L991" xr:uid="{00000000-0002-0000-0000-000002000000}">
      <formula1>exportscheme</formula1>
      <formula2>0</formula2>
    </dataValidation>
    <dataValidation type="list" allowBlank="1" showInputMessage="1" showErrorMessage="1" sqref="I1:I991" xr:uid="{00000000-0002-0000-0000-000003000000}">
      <formula1>chkReward</formula1>
      <formula2>0</formula2>
    </dataValidation>
    <dataValidation type="list" allowBlank="1" showInputMessage="1" showErrorMessage="1" sqref="J1:J991" xr:uid="{00000000-0002-0000-0000-000004000000}">
      <formula1>PAYMNTSTATUS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72"/>
  <sheetViews>
    <sheetView topLeftCell="B2" zoomScaleNormal="100" workbookViewId="0">
      <selection activeCell="R1" sqref="R1"/>
    </sheetView>
  </sheetViews>
  <sheetFormatPr defaultColWidth="49" defaultRowHeight="14.4" x14ac:dyDescent="0.3"/>
  <sheetData>
    <row r="1" spans="2:15" x14ac:dyDescent="0.3">
      <c r="F1" t="s">
        <v>48</v>
      </c>
    </row>
    <row r="2" spans="2:15" x14ac:dyDescent="0.3">
      <c r="B2" t="s">
        <v>49</v>
      </c>
      <c r="F2" t="s">
        <v>50</v>
      </c>
      <c r="L2" t="s">
        <v>51</v>
      </c>
    </row>
    <row r="3" spans="2:15" x14ac:dyDescent="0.3">
      <c r="B3" t="s">
        <v>52</v>
      </c>
      <c r="F3" t="s">
        <v>53</v>
      </c>
      <c r="L3" t="s">
        <v>54</v>
      </c>
      <c r="O3" t="s">
        <v>38</v>
      </c>
    </row>
    <row r="4" spans="2:15" x14ac:dyDescent="0.3">
      <c r="B4" t="s">
        <v>55</v>
      </c>
      <c r="F4" t="s">
        <v>56</v>
      </c>
      <c r="L4" t="s">
        <v>57</v>
      </c>
      <c r="O4" t="s">
        <v>58</v>
      </c>
    </row>
    <row r="5" spans="2:15" x14ac:dyDescent="0.3">
      <c r="B5" t="s">
        <v>59</v>
      </c>
      <c r="F5" t="s">
        <v>60</v>
      </c>
      <c r="L5" t="s">
        <v>61</v>
      </c>
      <c r="N5" t="s">
        <v>62</v>
      </c>
    </row>
    <row r="6" spans="2:15" x14ac:dyDescent="0.3">
      <c r="B6" t="s">
        <v>63</v>
      </c>
      <c r="F6" t="s">
        <v>64</v>
      </c>
      <c r="L6" t="s">
        <v>65</v>
      </c>
      <c r="N6" t="s">
        <v>39</v>
      </c>
    </row>
    <row r="7" spans="2:15" x14ac:dyDescent="0.3">
      <c r="B7" t="s">
        <v>66</v>
      </c>
      <c r="F7" t="s">
        <v>67</v>
      </c>
      <c r="L7" t="s">
        <v>68</v>
      </c>
      <c r="N7" t="s">
        <v>69</v>
      </c>
    </row>
    <row r="8" spans="2:15" x14ac:dyDescent="0.3">
      <c r="B8" t="s">
        <v>70</v>
      </c>
      <c r="F8" t="s">
        <v>71</v>
      </c>
      <c r="L8" t="s">
        <v>72</v>
      </c>
    </row>
    <row r="9" spans="2:15" x14ac:dyDescent="0.3">
      <c r="B9" t="s">
        <v>73</v>
      </c>
      <c r="F9" t="s">
        <v>74</v>
      </c>
      <c r="L9" t="s">
        <v>75</v>
      </c>
    </row>
    <row r="10" spans="2:15" x14ac:dyDescent="0.3">
      <c r="B10" t="s">
        <v>76</v>
      </c>
      <c r="F10" t="s">
        <v>77</v>
      </c>
      <c r="L10" t="s">
        <v>78</v>
      </c>
    </row>
    <row r="11" spans="2:15" x14ac:dyDescent="0.3">
      <c r="B11" t="s">
        <v>79</v>
      </c>
      <c r="F11" t="s">
        <v>80</v>
      </c>
      <c r="L11" t="s">
        <v>81</v>
      </c>
    </row>
    <row r="12" spans="2:15" x14ac:dyDescent="0.3">
      <c r="B12" t="s">
        <v>82</v>
      </c>
      <c r="F12" t="s">
        <v>83</v>
      </c>
      <c r="L12" t="s">
        <v>84</v>
      </c>
    </row>
    <row r="13" spans="2:15" x14ac:dyDescent="0.3">
      <c r="B13" t="s">
        <v>85</v>
      </c>
      <c r="F13" t="s">
        <v>86</v>
      </c>
      <c r="L13" t="s">
        <v>87</v>
      </c>
    </row>
    <row r="14" spans="2:15" x14ac:dyDescent="0.3">
      <c r="B14" t="s">
        <v>88</v>
      </c>
      <c r="F14" t="s">
        <v>89</v>
      </c>
      <c r="L14" t="s">
        <v>90</v>
      </c>
    </row>
    <row r="15" spans="2:15" x14ac:dyDescent="0.3">
      <c r="B15" t="s">
        <v>91</v>
      </c>
      <c r="F15" t="s">
        <v>92</v>
      </c>
      <c r="L15" t="s">
        <v>93</v>
      </c>
    </row>
    <row r="16" spans="2:15" x14ac:dyDescent="0.3">
      <c r="B16" t="s">
        <v>94</v>
      </c>
      <c r="F16" t="s">
        <v>95</v>
      </c>
      <c r="L16" t="s">
        <v>93</v>
      </c>
    </row>
    <row r="17" spans="2:12" x14ac:dyDescent="0.3">
      <c r="B17" t="s">
        <v>96</v>
      </c>
      <c r="F17" t="s">
        <v>97</v>
      </c>
      <c r="L17" t="s">
        <v>98</v>
      </c>
    </row>
    <row r="18" spans="2:12" x14ac:dyDescent="0.3">
      <c r="B18" t="s">
        <v>99</v>
      </c>
      <c r="F18" t="s">
        <v>100</v>
      </c>
      <c r="L18" t="s">
        <v>101</v>
      </c>
    </row>
    <row r="19" spans="2:12" x14ac:dyDescent="0.3">
      <c r="B19" t="s">
        <v>102</v>
      </c>
      <c r="F19" t="s">
        <v>103</v>
      </c>
      <c r="L19" t="s">
        <v>104</v>
      </c>
    </row>
    <row r="20" spans="2:12" x14ac:dyDescent="0.3">
      <c r="B20" t="s">
        <v>105</v>
      </c>
      <c r="F20" t="s">
        <v>40</v>
      </c>
      <c r="L20" t="s">
        <v>106</v>
      </c>
    </row>
    <row r="21" spans="2:12" x14ac:dyDescent="0.3">
      <c r="B21" t="s">
        <v>107</v>
      </c>
      <c r="F21" t="s">
        <v>108</v>
      </c>
      <c r="L21" t="s">
        <v>109</v>
      </c>
    </row>
    <row r="22" spans="2:12" x14ac:dyDescent="0.3">
      <c r="B22" t="s">
        <v>110</v>
      </c>
      <c r="F22" t="s">
        <v>111</v>
      </c>
      <c r="L22" t="s">
        <v>112</v>
      </c>
    </row>
    <row r="23" spans="2:12" x14ac:dyDescent="0.3">
      <c r="B23" t="s">
        <v>113</v>
      </c>
      <c r="F23" t="s">
        <v>114</v>
      </c>
      <c r="L23" t="s">
        <v>37</v>
      </c>
    </row>
    <row r="24" spans="2:12" x14ac:dyDescent="0.3">
      <c r="B24" t="s">
        <v>115</v>
      </c>
      <c r="F24" t="s">
        <v>116</v>
      </c>
      <c r="L24" t="s">
        <v>117</v>
      </c>
    </row>
    <row r="25" spans="2:12" x14ac:dyDescent="0.3">
      <c r="B25" t="s">
        <v>118</v>
      </c>
      <c r="F25" t="s">
        <v>119</v>
      </c>
      <c r="L25" t="s">
        <v>120</v>
      </c>
    </row>
    <row r="26" spans="2:12" x14ac:dyDescent="0.3">
      <c r="B26" t="s">
        <v>121</v>
      </c>
      <c r="F26" t="s">
        <v>122</v>
      </c>
      <c r="L26" t="s">
        <v>123</v>
      </c>
    </row>
    <row r="27" spans="2:12" x14ac:dyDescent="0.3">
      <c r="B27" t="s">
        <v>124</v>
      </c>
      <c r="F27" t="s">
        <v>125</v>
      </c>
      <c r="L27" t="s">
        <v>126</v>
      </c>
    </row>
    <row r="28" spans="2:12" x14ac:dyDescent="0.3">
      <c r="B28" t="s">
        <v>127</v>
      </c>
      <c r="F28" t="s">
        <v>128</v>
      </c>
      <c r="L28" t="s">
        <v>129</v>
      </c>
    </row>
    <row r="29" spans="2:12" x14ac:dyDescent="0.3">
      <c r="B29" t="s">
        <v>130</v>
      </c>
      <c r="F29" t="s">
        <v>131</v>
      </c>
      <c r="L29" t="s">
        <v>132</v>
      </c>
    </row>
    <row r="30" spans="2:12" x14ac:dyDescent="0.3">
      <c r="B30" t="s">
        <v>133</v>
      </c>
      <c r="F30" t="s">
        <v>134</v>
      </c>
      <c r="L30" t="s">
        <v>135</v>
      </c>
    </row>
    <row r="31" spans="2:12" x14ac:dyDescent="0.3">
      <c r="B31" t="s">
        <v>136</v>
      </c>
      <c r="F31" t="s">
        <v>137</v>
      </c>
      <c r="L31" t="s">
        <v>138</v>
      </c>
    </row>
    <row r="32" spans="2:12" x14ac:dyDescent="0.3">
      <c r="B32" t="s">
        <v>139</v>
      </c>
      <c r="F32" t="s">
        <v>140</v>
      </c>
      <c r="L32" t="s">
        <v>141</v>
      </c>
    </row>
    <row r="33" spans="2:12" x14ac:dyDescent="0.3">
      <c r="B33" t="s">
        <v>142</v>
      </c>
      <c r="F33" t="s">
        <v>143</v>
      </c>
      <c r="L33" t="s">
        <v>144</v>
      </c>
    </row>
    <row r="34" spans="2:12" x14ac:dyDescent="0.3">
      <c r="B34" t="s">
        <v>47</v>
      </c>
      <c r="F34" t="s">
        <v>145</v>
      </c>
      <c r="L34" t="s">
        <v>146</v>
      </c>
    </row>
    <row r="35" spans="2:12" x14ac:dyDescent="0.3">
      <c r="B35" t="s">
        <v>147</v>
      </c>
      <c r="F35" t="s">
        <v>148</v>
      </c>
      <c r="L35" t="s">
        <v>149</v>
      </c>
    </row>
    <row r="36" spans="2:12" x14ac:dyDescent="0.3">
      <c r="B36" t="s">
        <v>150</v>
      </c>
      <c r="F36" t="s">
        <v>151</v>
      </c>
      <c r="L36" t="s">
        <v>152</v>
      </c>
    </row>
    <row r="37" spans="2:12" x14ac:dyDescent="0.3">
      <c r="B37" t="s">
        <v>153</v>
      </c>
      <c r="F37" t="s">
        <v>154</v>
      </c>
      <c r="L37" t="s">
        <v>155</v>
      </c>
    </row>
    <row r="38" spans="2:12" x14ac:dyDescent="0.3">
      <c r="B38" t="s">
        <v>156</v>
      </c>
      <c r="F38" t="s">
        <v>157</v>
      </c>
      <c r="L38" t="s">
        <v>158</v>
      </c>
    </row>
    <row r="39" spans="2:12" x14ac:dyDescent="0.3">
      <c r="B39" t="s">
        <v>159</v>
      </c>
      <c r="F39" t="s">
        <v>160</v>
      </c>
      <c r="L39" t="s">
        <v>161</v>
      </c>
    </row>
    <row r="40" spans="2:12" x14ac:dyDescent="0.3">
      <c r="B40" t="s">
        <v>162</v>
      </c>
      <c r="F40" t="s">
        <v>163</v>
      </c>
      <c r="L40" t="s">
        <v>164</v>
      </c>
    </row>
    <row r="41" spans="2:12" x14ac:dyDescent="0.3">
      <c r="B41" t="s">
        <v>165</v>
      </c>
      <c r="F41" t="s">
        <v>166</v>
      </c>
      <c r="L41" t="s">
        <v>167</v>
      </c>
    </row>
    <row r="42" spans="2:12" x14ac:dyDescent="0.3">
      <c r="B42" t="s">
        <v>168</v>
      </c>
      <c r="F42" t="s">
        <v>169</v>
      </c>
      <c r="L42" t="s">
        <v>170</v>
      </c>
    </row>
    <row r="43" spans="2:12" x14ac:dyDescent="0.3">
      <c r="B43" t="s">
        <v>171</v>
      </c>
      <c r="F43" t="s">
        <v>172</v>
      </c>
      <c r="L43" t="s">
        <v>173</v>
      </c>
    </row>
    <row r="44" spans="2:12" x14ac:dyDescent="0.3">
      <c r="B44" t="s">
        <v>174</v>
      </c>
      <c r="F44" t="s">
        <v>175</v>
      </c>
      <c r="L44" t="s">
        <v>176</v>
      </c>
    </row>
    <row r="45" spans="2:12" x14ac:dyDescent="0.3">
      <c r="B45" t="s">
        <v>177</v>
      </c>
      <c r="F45" t="s">
        <v>178</v>
      </c>
      <c r="L45" t="s">
        <v>179</v>
      </c>
    </row>
    <row r="46" spans="2:12" x14ac:dyDescent="0.3">
      <c r="B46" t="s">
        <v>42</v>
      </c>
      <c r="F46" t="s">
        <v>180</v>
      </c>
      <c r="L46" t="s">
        <v>181</v>
      </c>
    </row>
    <row r="47" spans="2:12" x14ac:dyDescent="0.3">
      <c r="B47" t="s">
        <v>182</v>
      </c>
      <c r="F47" t="s">
        <v>183</v>
      </c>
    </row>
    <row r="48" spans="2:12" x14ac:dyDescent="0.3">
      <c r="B48" t="s">
        <v>41</v>
      </c>
      <c r="F48" t="s">
        <v>184</v>
      </c>
    </row>
    <row r="49" spans="2:6" x14ac:dyDescent="0.3">
      <c r="B49" t="s">
        <v>185</v>
      </c>
      <c r="F49" t="s">
        <v>186</v>
      </c>
    </row>
    <row r="50" spans="2:6" x14ac:dyDescent="0.3">
      <c r="B50" t="s">
        <v>187</v>
      </c>
      <c r="F50" t="s">
        <v>188</v>
      </c>
    </row>
    <row r="51" spans="2:6" x14ac:dyDescent="0.3">
      <c r="B51" t="s">
        <v>189</v>
      </c>
      <c r="F51" t="s">
        <v>190</v>
      </c>
    </row>
    <row r="52" spans="2:6" x14ac:dyDescent="0.3">
      <c r="B52" t="s">
        <v>191</v>
      </c>
      <c r="F52" t="s">
        <v>192</v>
      </c>
    </row>
    <row r="53" spans="2:6" x14ac:dyDescent="0.3">
      <c r="B53" t="s">
        <v>193</v>
      </c>
      <c r="F53" t="s">
        <v>194</v>
      </c>
    </row>
    <row r="54" spans="2:6" x14ac:dyDescent="0.3">
      <c r="B54" t="s">
        <v>193</v>
      </c>
      <c r="F54" t="s">
        <v>195</v>
      </c>
    </row>
    <row r="55" spans="2:6" x14ac:dyDescent="0.3">
      <c r="B55" t="s">
        <v>196</v>
      </c>
      <c r="F55" t="s">
        <v>197</v>
      </c>
    </row>
    <row r="56" spans="2:6" x14ac:dyDescent="0.3">
      <c r="B56" t="s">
        <v>198</v>
      </c>
      <c r="F56" t="s">
        <v>199</v>
      </c>
    </row>
    <row r="57" spans="2:6" x14ac:dyDescent="0.3">
      <c r="B57" t="s">
        <v>200</v>
      </c>
      <c r="F57" t="s">
        <v>201</v>
      </c>
    </row>
    <row r="58" spans="2:6" x14ac:dyDescent="0.3">
      <c r="B58" t="s">
        <v>202</v>
      </c>
      <c r="F58" t="s">
        <v>203</v>
      </c>
    </row>
    <row r="59" spans="2:6" x14ac:dyDescent="0.3">
      <c r="B59" t="s">
        <v>204</v>
      </c>
      <c r="F59" t="s">
        <v>205</v>
      </c>
    </row>
    <row r="60" spans="2:6" x14ac:dyDescent="0.3">
      <c r="B60" t="s">
        <v>206</v>
      </c>
      <c r="F60" t="s">
        <v>207</v>
      </c>
    </row>
    <row r="61" spans="2:6" x14ac:dyDescent="0.3">
      <c r="B61" t="s">
        <v>208</v>
      </c>
      <c r="F61" t="s">
        <v>209</v>
      </c>
    </row>
    <row r="62" spans="2:6" x14ac:dyDescent="0.3">
      <c r="B62" t="s">
        <v>210</v>
      </c>
      <c r="F62" t="s">
        <v>211</v>
      </c>
    </row>
    <row r="63" spans="2:6" x14ac:dyDescent="0.3">
      <c r="B63" t="s">
        <v>212</v>
      </c>
      <c r="F63" t="s">
        <v>213</v>
      </c>
    </row>
    <row r="64" spans="2:6" x14ac:dyDescent="0.3">
      <c r="B64" t="s">
        <v>214</v>
      </c>
      <c r="F64" t="s">
        <v>215</v>
      </c>
    </row>
    <row r="65" spans="2:6" x14ac:dyDescent="0.3">
      <c r="B65" t="s">
        <v>216</v>
      </c>
      <c r="F65" t="s">
        <v>217</v>
      </c>
    </row>
    <row r="66" spans="2:6" x14ac:dyDescent="0.3">
      <c r="B66" t="s">
        <v>218</v>
      </c>
      <c r="F66" t="s">
        <v>219</v>
      </c>
    </row>
    <row r="67" spans="2:6" x14ac:dyDescent="0.3">
      <c r="B67" t="s">
        <v>220</v>
      </c>
      <c r="F67" t="s">
        <v>221</v>
      </c>
    </row>
    <row r="68" spans="2:6" x14ac:dyDescent="0.3">
      <c r="B68" t="s">
        <v>222</v>
      </c>
      <c r="F68" t="s">
        <v>223</v>
      </c>
    </row>
    <row r="69" spans="2:6" x14ac:dyDescent="0.3">
      <c r="B69" t="s">
        <v>224</v>
      </c>
      <c r="F69" t="s">
        <v>225</v>
      </c>
    </row>
    <row r="70" spans="2:6" x14ac:dyDescent="0.3">
      <c r="B70" t="s">
        <v>226</v>
      </c>
    </row>
    <row r="71" spans="2:6" x14ac:dyDescent="0.3">
      <c r="B71" t="s">
        <v>227</v>
      </c>
    </row>
    <row r="72" spans="2:6" x14ac:dyDescent="0.3">
      <c r="B72" t="s">
        <v>228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Sheet1</vt:lpstr>
      <vt:lpstr>Guidelines</vt:lpstr>
      <vt:lpstr>chkReward</vt:lpstr>
      <vt:lpstr>ENDUSE</vt:lpstr>
      <vt:lpstr>exportscheme</vt:lpstr>
      <vt:lpstr>exportschemes</vt:lpstr>
      <vt:lpstr>expscheme</vt:lpstr>
      <vt:lpstr>PAYMNTSTATUS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Server-pc</dc:creator>
  <dc:description/>
  <cp:lastModifiedBy>HP</cp:lastModifiedBy>
  <cp:revision>0</cp:revision>
  <dcterms:created xsi:type="dcterms:W3CDTF">2018-08-30T11:20:22Z</dcterms:created>
  <dcterms:modified xsi:type="dcterms:W3CDTF">2026-08-20T05:21:25Z</dcterms:modified>
  <dc:language>en-US</dc:language>
</cp:coreProperties>
</file>